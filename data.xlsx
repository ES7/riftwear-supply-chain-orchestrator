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yed\Desktop\prsnl\Supply Chain Orchestrator\"/>
    </mc:Choice>
  </mc:AlternateContent>
  <xr:revisionPtr revIDLastSave="0" documentId="13_ncr:1_{F8FE6191-52D8-4EF6-979A-78741BEE00B1}" xr6:coauthVersionLast="47" xr6:coauthVersionMax="47" xr10:uidLastSave="{00000000-0000-0000-0000-000000000000}"/>
  <bookViews>
    <workbookView xWindow="11918" yWindow="0" windowWidth="12165" windowHeight="15082" firstSheet="1" activeTab="1" xr2:uid="{00000000-000D-0000-FFFF-FFFF00000000}"/>
  </bookViews>
  <sheets>
    <sheet name="📈 Dashboard" sheetId="1" r:id="rId1"/>
    <sheet name="🛒 Orders" sheetId="2" r:id="rId2"/>
    <sheet name="💸 Expenses" sheetId="3" r:id="rId3"/>
    <sheet name="🏭 Vendors" sheetId="4" r:id="rId4"/>
    <sheet name="📊 Drop Summary" sheetId="5" r:id="rId5"/>
    <sheet name="👕 Products" sheetId="6" r:id="rId6"/>
  </sheets>
  <calcPr calcId="191029"/>
</workbook>
</file>

<file path=xl/calcChain.xml><?xml version="1.0" encoding="utf-8"?>
<calcChain xmlns="http://schemas.openxmlformats.org/spreadsheetml/2006/main">
  <c r="H30" i="2" l="1"/>
  <c r="C6" i="5" s="1"/>
  <c r="H5" i="2"/>
  <c r="I5" i="2" s="1"/>
  <c r="J5" i="2" s="1"/>
  <c r="H6" i="2"/>
  <c r="H7" i="2"/>
  <c r="H8" i="2"/>
  <c r="I8" i="2" s="1"/>
  <c r="J8" i="2" s="1"/>
  <c r="H9" i="2"/>
  <c r="H10" i="2"/>
  <c r="H11" i="2"/>
  <c r="H12" i="2"/>
  <c r="H13" i="2"/>
  <c r="H14" i="2"/>
  <c r="H15" i="2"/>
  <c r="H16" i="2"/>
  <c r="J16" i="2" s="1"/>
  <c r="H17" i="2"/>
  <c r="J17" i="2" s="1"/>
  <c r="H18" i="2"/>
  <c r="J18" i="2" s="1"/>
  <c r="H19" i="2"/>
  <c r="H20" i="2"/>
  <c r="H21" i="2"/>
  <c r="H22" i="2"/>
  <c r="J22" i="2" s="1"/>
  <c r="H23" i="2"/>
  <c r="H24" i="2"/>
  <c r="I24" i="2" s="1"/>
  <c r="J24" i="2" s="1"/>
  <c r="H25" i="2"/>
  <c r="I25" i="2" s="1"/>
  <c r="J25" i="2" s="1"/>
  <c r="H26" i="2"/>
  <c r="I26" i="2" s="1"/>
  <c r="J26" i="2" s="1"/>
  <c r="H27" i="2"/>
  <c r="I27" i="2" s="1"/>
  <c r="J27" i="2" s="1"/>
  <c r="H28" i="2"/>
  <c r="J28" i="2" s="1"/>
  <c r="H29" i="2"/>
  <c r="H4" i="2"/>
  <c r="I4" i="2" s="1"/>
  <c r="J4" i="2" s="1"/>
  <c r="L29" i="2"/>
  <c r="L28" i="2"/>
  <c r="L27" i="2"/>
  <c r="L26" i="2"/>
  <c r="L25" i="2"/>
  <c r="L24" i="2"/>
  <c r="L23" i="2"/>
  <c r="L22" i="2"/>
  <c r="L21" i="2"/>
  <c r="N21" i="2" s="1"/>
  <c r="L20" i="2"/>
  <c r="L19" i="2"/>
  <c r="L18" i="2"/>
  <c r="L17" i="2"/>
  <c r="N17" i="2" s="1"/>
  <c r="L16" i="2"/>
  <c r="N16" i="2" s="1"/>
  <c r="L15" i="2"/>
  <c r="N15" i="2" s="1"/>
  <c r="L14" i="2"/>
  <c r="N14" i="2" s="1"/>
  <c r="L13" i="2"/>
  <c r="L12" i="2"/>
  <c r="L11" i="2"/>
  <c r="L10" i="2"/>
  <c r="L9" i="2"/>
  <c r="N9" i="2" s="1"/>
  <c r="L8" i="2"/>
  <c r="L7" i="2"/>
  <c r="L6" i="2"/>
  <c r="L5" i="2"/>
  <c r="N10" i="2"/>
  <c r="N22" i="2"/>
  <c r="N30" i="2"/>
  <c r="L4" i="2"/>
  <c r="N4" i="2" s="1"/>
  <c r="K5" i="2"/>
  <c r="N5" i="2" s="1"/>
  <c r="K6" i="2"/>
  <c r="N6" i="2" s="1"/>
  <c r="K7" i="2"/>
  <c r="N7" i="2" s="1"/>
  <c r="K8" i="2"/>
  <c r="N8" i="2" s="1"/>
  <c r="K9" i="2"/>
  <c r="K10" i="2"/>
  <c r="K11" i="2"/>
  <c r="K12" i="2"/>
  <c r="N12" i="2" s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N25" i="2" s="1"/>
  <c r="K26" i="2"/>
  <c r="N26" i="2" s="1"/>
  <c r="K27" i="2"/>
  <c r="N27" i="2" s="1"/>
  <c r="K28" i="2"/>
  <c r="N28" i="2" s="1"/>
  <c r="K29" i="2"/>
  <c r="K4" i="2"/>
  <c r="N11" i="2"/>
  <c r="F15" i="6"/>
  <c r="H15" i="6" s="1"/>
  <c r="I15" i="6" s="1"/>
  <c r="F14" i="6"/>
  <c r="H14" i="6" s="1"/>
  <c r="I14" i="6" s="1"/>
  <c r="F13" i="6"/>
  <c r="H13" i="6" s="1"/>
  <c r="I13" i="6" s="1"/>
  <c r="F12" i="6"/>
  <c r="H12" i="6" s="1"/>
  <c r="I12" i="6" s="1"/>
  <c r="F11" i="6"/>
  <c r="G11" i="6" s="1"/>
  <c r="F10" i="6"/>
  <c r="H10" i="6" s="1"/>
  <c r="I10" i="6" s="1"/>
  <c r="F9" i="6"/>
  <c r="H9" i="6" s="1"/>
  <c r="I9" i="6" s="1"/>
  <c r="F8" i="6"/>
  <c r="H8" i="6" s="1"/>
  <c r="I8" i="6" s="1"/>
  <c r="F7" i="6"/>
  <c r="H7" i="6" s="1"/>
  <c r="I7" i="6" s="1"/>
  <c r="F6" i="6"/>
  <c r="H6" i="6" s="1"/>
  <c r="I6" i="6" s="1"/>
  <c r="F5" i="6"/>
  <c r="H5" i="6" s="1"/>
  <c r="I5" i="6" s="1"/>
  <c r="F4" i="6"/>
  <c r="H4" i="6" s="1"/>
  <c r="I4" i="6" s="1"/>
  <c r="G24" i="5"/>
  <c r="F24" i="5"/>
  <c r="E24" i="5"/>
  <c r="D24" i="5"/>
  <c r="G23" i="5"/>
  <c r="F23" i="5"/>
  <c r="E23" i="5"/>
  <c r="D23" i="5"/>
  <c r="G22" i="5"/>
  <c r="F22" i="5"/>
  <c r="E22" i="5"/>
  <c r="D22" i="5"/>
  <c r="C21" i="5"/>
  <c r="B21" i="5"/>
  <c r="H21" i="5" s="1"/>
  <c r="G19" i="5"/>
  <c r="F19" i="5"/>
  <c r="E19" i="5"/>
  <c r="D19" i="5"/>
  <c r="G17" i="5"/>
  <c r="F17" i="5"/>
  <c r="E17" i="5"/>
  <c r="D17" i="5"/>
  <c r="C17" i="5"/>
  <c r="B17" i="5"/>
  <c r="C12" i="5"/>
  <c r="C11" i="5"/>
  <c r="C5" i="5"/>
  <c r="B5" i="5"/>
  <c r="E24" i="3"/>
  <c r="C13" i="5" s="1"/>
  <c r="O60" i="2"/>
  <c r="N60" i="2"/>
  <c r="J60" i="2"/>
  <c r="I60" i="2"/>
  <c r="O59" i="2"/>
  <c r="N59" i="2"/>
  <c r="J59" i="2"/>
  <c r="I59" i="2"/>
  <c r="O58" i="2"/>
  <c r="N58" i="2"/>
  <c r="J58" i="2"/>
  <c r="I58" i="2"/>
  <c r="O57" i="2"/>
  <c r="N57" i="2"/>
  <c r="J57" i="2"/>
  <c r="I57" i="2"/>
  <c r="O56" i="2"/>
  <c r="N56" i="2"/>
  <c r="J56" i="2"/>
  <c r="I56" i="2"/>
  <c r="O55" i="2"/>
  <c r="N55" i="2"/>
  <c r="J55" i="2"/>
  <c r="I55" i="2"/>
  <c r="O54" i="2"/>
  <c r="N54" i="2"/>
  <c r="J54" i="2"/>
  <c r="I54" i="2"/>
  <c r="O53" i="2"/>
  <c r="N53" i="2"/>
  <c r="J53" i="2"/>
  <c r="I53" i="2"/>
  <c r="O52" i="2"/>
  <c r="N52" i="2"/>
  <c r="J52" i="2"/>
  <c r="I52" i="2"/>
  <c r="O51" i="2"/>
  <c r="N51" i="2"/>
  <c r="J51" i="2"/>
  <c r="I51" i="2"/>
  <c r="O50" i="2"/>
  <c r="N50" i="2"/>
  <c r="J50" i="2"/>
  <c r="I50" i="2"/>
  <c r="O49" i="2"/>
  <c r="N49" i="2"/>
  <c r="J49" i="2"/>
  <c r="I49" i="2"/>
  <c r="O48" i="2"/>
  <c r="N48" i="2"/>
  <c r="J48" i="2"/>
  <c r="I48" i="2"/>
  <c r="O47" i="2"/>
  <c r="N47" i="2"/>
  <c r="J47" i="2"/>
  <c r="I47" i="2"/>
  <c r="O46" i="2"/>
  <c r="N46" i="2"/>
  <c r="J46" i="2"/>
  <c r="I46" i="2"/>
  <c r="O45" i="2"/>
  <c r="N45" i="2"/>
  <c r="J45" i="2"/>
  <c r="I45" i="2"/>
  <c r="O44" i="2"/>
  <c r="N44" i="2"/>
  <c r="J44" i="2"/>
  <c r="I44" i="2"/>
  <c r="O43" i="2"/>
  <c r="N43" i="2"/>
  <c r="J43" i="2"/>
  <c r="I43" i="2"/>
  <c r="O42" i="2"/>
  <c r="N42" i="2"/>
  <c r="J42" i="2"/>
  <c r="I42" i="2"/>
  <c r="O41" i="2"/>
  <c r="N41" i="2"/>
  <c r="J41" i="2"/>
  <c r="I41" i="2"/>
  <c r="O40" i="2"/>
  <c r="N40" i="2"/>
  <c r="J40" i="2"/>
  <c r="I40" i="2"/>
  <c r="O39" i="2"/>
  <c r="N39" i="2"/>
  <c r="J39" i="2"/>
  <c r="I39" i="2"/>
  <c r="O38" i="2"/>
  <c r="N38" i="2"/>
  <c r="J38" i="2"/>
  <c r="I38" i="2"/>
  <c r="O37" i="2"/>
  <c r="N37" i="2"/>
  <c r="J37" i="2"/>
  <c r="I37" i="2"/>
  <c r="O36" i="2"/>
  <c r="N36" i="2"/>
  <c r="J36" i="2"/>
  <c r="I36" i="2"/>
  <c r="O35" i="2"/>
  <c r="N35" i="2"/>
  <c r="J35" i="2"/>
  <c r="I35" i="2"/>
  <c r="O34" i="2"/>
  <c r="N34" i="2"/>
  <c r="J34" i="2"/>
  <c r="I34" i="2"/>
  <c r="O33" i="2"/>
  <c r="N33" i="2"/>
  <c r="J33" i="2"/>
  <c r="I33" i="2"/>
  <c r="O32" i="2"/>
  <c r="N32" i="2"/>
  <c r="J32" i="2"/>
  <c r="I32" i="2"/>
  <c r="O31" i="2"/>
  <c r="N31" i="2"/>
  <c r="J31" i="2"/>
  <c r="I31" i="2"/>
  <c r="J30" i="2"/>
  <c r="I30" i="2"/>
  <c r="N29" i="2"/>
  <c r="J29" i="2"/>
  <c r="I29" i="2"/>
  <c r="I28" i="2"/>
  <c r="I23" i="2"/>
  <c r="J23" i="2" s="1"/>
  <c r="I22" i="2"/>
  <c r="J21" i="2"/>
  <c r="I21" i="2"/>
  <c r="J20" i="2"/>
  <c r="I20" i="2"/>
  <c r="J19" i="2"/>
  <c r="I19" i="2"/>
  <c r="I18" i="2"/>
  <c r="I17" i="2"/>
  <c r="I16" i="2"/>
  <c r="J15" i="2"/>
  <c r="I15" i="2"/>
  <c r="J14" i="2"/>
  <c r="I14" i="2"/>
  <c r="N13" i="2"/>
  <c r="I13" i="2"/>
  <c r="J13" i="2" s="1"/>
  <c r="I12" i="2"/>
  <c r="J12" i="2" s="1"/>
  <c r="I11" i="2"/>
  <c r="J11" i="2" s="1"/>
  <c r="I10" i="2"/>
  <c r="J10" i="2" s="1"/>
  <c r="I9" i="2"/>
  <c r="J9" i="2" s="1"/>
  <c r="I7" i="2"/>
  <c r="J7" i="2" s="1"/>
  <c r="I6" i="2"/>
  <c r="J6" i="2" s="1"/>
  <c r="F29" i="1"/>
  <c r="F28" i="1"/>
  <c r="F27" i="1"/>
  <c r="F26" i="1"/>
  <c r="F25" i="1"/>
  <c r="F16" i="1"/>
  <c r="F15" i="1"/>
  <c r="F14" i="1"/>
  <c r="F13" i="1"/>
  <c r="F12" i="1"/>
  <c r="O30" i="2" l="1"/>
  <c r="O26" i="2"/>
  <c r="O25" i="2"/>
  <c r="B6" i="5"/>
  <c r="H6" i="5" s="1"/>
  <c r="B7" i="5"/>
  <c r="C7" i="5"/>
  <c r="F30" i="1"/>
  <c r="O9" i="2"/>
  <c r="O15" i="2"/>
  <c r="O16" i="2"/>
  <c r="N23" i="2"/>
  <c r="O23" i="2" s="1"/>
  <c r="N20" i="2"/>
  <c r="O22" i="2"/>
  <c r="O17" i="2"/>
  <c r="N24" i="2"/>
  <c r="O24" i="2" s="1"/>
  <c r="N19" i="2"/>
  <c r="O19" i="2" s="1"/>
  <c r="N18" i="2"/>
  <c r="O18" i="2" s="1"/>
  <c r="O6" i="2"/>
  <c r="O7" i="2"/>
  <c r="O27" i="2"/>
  <c r="O20" i="2"/>
  <c r="O28" i="2"/>
  <c r="O14" i="2"/>
  <c r="O21" i="2"/>
  <c r="O29" i="2"/>
  <c r="O8" i="2"/>
  <c r="O10" i="2"/>
  <c r="O11" i="2"/>
  <c r="O12" i="2"/>
  <c r="O13" i="2"/>
  <c r="O5" i="2"/>
  <c r="O4" i="2"/>
  <c r="H17" i="5"/>
  <c r="C8" i="5"/>
  <c r="C31" i="5"/>
  <c r="F6" i="1" s="1"/>
  <c r="C14" i="5"/>
  <c r="C23" i="5" s="1"/>
  <c r="H11" i="6"/>
  <c r="I11" i="6" s="1"/>
  <c r="B11" i="5"/>
  <c r="B12" i="5"/>
  <c r="H12" i="5" s="1"/>
  <c r="F17" i="1"/>
  <c r="B13" i="5"/>
  <c r="H13" i="5" s="1"/>
  <c r="H5" i="5"/>
  <c r="B8" i="5"/>
  <c r="H7" i="5" l="1"/>
  <c r="C9" i="5"/>
  <c r="C16" i="5" s="1"/>
  <c r="C18" i="5" s="1"/>
  <c r="C24" i="5" s="1"/>
  <c r="B9" i="5"/>
  <c r="C30" i="5" s="1"/>
  <c r="F5" i="1" s="1"/>
  <c r="C32" i="5"/>
  <c r="F7" i="1" s="1"/>
  <c r="C33" i="5"/>
  <c r="F8" i="1" s="1"/>
  <c r="H8" i="5"/>
  <c r="B14" i="5"/>
  <c r="H11" i="5"/>
  <c r="B22" i="5" l="1"/>
  <c r="H9" i="5"/>
  <c r="H22" i="5" s="1"/>
  <c r="C22" i="5"/>
  <c r="C19" i="5"/>
  <c r="H14" i="5"/>
  <c r="H23" i="5" s="1"/>
  <c r="B23" i="5"/>
  <c r="B16" i="5"/>
  <c r="H16" i="5" l="1"/>
  <c r="B18" i="5"/>
  <c r="C34" i="5"/>
  <c r="F20" i="1" s="1"/>
  <c r="B24" i="5" l="1"/>
  <c r="B19" i="5"/>
  <c r="H18" i="5"/>
  <c r="C35" i="5"/>
  <c r="F21" i="1" l="1"/>
  <c r="C36" i="5"/>
  <c r="F22" i="1" s="1"/>
  <c r="H24" i="5"/>
  <c r="H19" i="5"/>
</calcChain>
</file>

<file path=xl/sharedStrings.xml><?xml version="1.0" encoding="utf-8"?>
<sst xmlns="http://schemas.openxmlformats.org/spreadsheetml/2006/main" count="411" uniqueCount="267">
  <si>
    <t>RIFT WEAR — BUSINESS DASHBOARD</t>
  </si>
  <si>
    <t>Auto-calculated. Do not edit manually.</t>
  </si>
  <si>
    <t>REVENUE</t>
  </si>
  <si>
    <t>Total Revenue (All Drops)</t>
  </si>
  <si>
    <t>Site Orders Revenue</t>
  </si>
  <si>
    <t>Custom Orders Revenue</t>
  </si>
  <si>
    <t>Razorpay Fees Paid</t>
  </si>
  <si>
    <t>COSTS</t>
  </si>
  <si>
    <t>Total T-shirt Cost</t>
  </si>
  <si>
    <t>Total DTF Print Cost</t>
  </si>
  <si>
    <t>Total Delivery Cost</t>
  </si>
  <si>
    <t>Total Marketing / Events</t>
  </si>
  <si>
    <t>Total Travel</t>
  </si>
  <si>
    <t>Total Expenses</t>
  </si>
  <si>
    <t>PROFIT</t>
  </si>
  <si>
    <t>Gross Profit (Revenue - COGS)</t>
  </si>
  <si>
    <t>Net Profit (After all expenses)</t>
  </si>
  <si>
    <t>Overall Margin %</t>
  </si>
  <si>
    <t>ORDERS</t>
  </si>
  <si>
    <t>Total Orders</t>
  </si>
  <si>
    <t>Site Orders</t>
  </si>
  <si>
    <t>Custom Orders</t>
  </si>
  <si>
    <t>Dept / Bulk Orders</t>
  </si>
  <si>
    <t>Total Units Sold</t>
  </si>
  <si>
    <t>Avg Order Value</t>
  </si>
  <si>
    <t>RIFT WEAR — ORDER LOG</t>
  </si>
  <si>
    <t>One row per order. Order Type: Site / Custom / Dept.  Payment: Razorpay / Cash / UPI / Bank</t>
  </si>
  <si>
    <t>Order ID</t>
  </si>
  <si>
    <t>Drop Name</t>
  </si>
  <si>
    <t>Date</t>
  </si>
  <si>
    <t>Order Type</t>
  </si>
  <si>
    <t>Customer Name</t>
  </si>
  <si>
    <t>Qty</t>
  </si>
  <si>
    <t>Product(s)</t>
  </si>
  <si>
    <t>Selling Price (₹)</t>
  </si>
  <si>
    <t>Razorpay Fee (₹)</t>
  </si>
  <si>
    <t>Amount Received (₹)</t>
  </si>
  <si>
    <t>T-shirt Cost (₹)</t>
  </si>
  <si>
    <t>Print Cost (₹)</t>
  </si>
  <si>
    <t>Delivery Cost (₹)</t>
  </si>
  <si>
    <t>Total COGS (₹)</t>
  </si>
  <si>
    <t>Profit (₹)</t>
  </si>
  <si>
    <t>Satisfaction</t>
  </si>
  <si>
    <t>RW-001</t>
  </si>
  <si>
    <t>Drop 1 - Aug'24</t>
  </si>
  <si>
    <t>22-08-2024</t>
  </si>
  <si>
    <t>Site</t>
  </si>
  <si>
    <t>Customer 1</t>
  </si>
  <si>
    <t>GTA Tee</t>
  </si>
  <si>
    <t>RW-002</t>
  </si>
  <si>
    <t>23-08-2024</t>
  </si>
  <si>
    <t>Customer 2</t>
  </si>
  <si>
    <t>Graffiti Tee</t>
  </si>
  <si>
    <t>RW-003</t>
  </si>
  <si>
    <t>24-08-2024</t>
  </si>
  <si>
    <t>Customer 3</t>
  </si>
  <si>
    <t>Isometric Tee</t>
  </si>
  <si>
    <t>RW-004</t>
  </si>
  <si>
    <t>25-08-2024</t>
  </si>
  <si>
    <t>Customer 4</t>
  </si>
  <si>
    <t>Classic Tee</t>
  </si>
  <si>
    <t>RW-005</t>
  </si>
  <si>
    <t>26-08-2024</t>
  </si>
  <si>
    <t>Customer 5</t>
  </si>
  <si>
    <t>RW-006</t>
  </si>
  <si>
    <t>27-08-2024</t>
  </si>
  <si>
    <t>Customer 6</t>
  </si>
  <si>
    <t>Geology Tee</t>
  </si>
  <si>
    <t>RW-007</t>
  </si>
  <si>
    <t>28-08-2024</t>
  </si>
  <si>
    <t>Customer 7</t>
  </si>
  <si>
    <t>RW-008</t>
  </si>
  <si>
    <t>29-08-2024</t>
  </si>
  <si>
    <t>Customer 8</t>
  </si>
  <si>
    <t>RW-009</t>
  </si>
  <si>
    <t>30-08-2024</t>
  </si>
  <si>
    <t>Customer 9</t>
  </si>
  <si>
    <t>RW-010</t>
  </si>
  <si>
    <t>31-08-2024</t>
  </si>
  <si>
    <t>Customer 10</t>
  </si>
  <si>
    <t>RW-011</t>
  </si>
  <si>
    <t>01-09-2024</t>
  </si>
  <si>
    <t>Custom</t>
  </si>
  <si>
    <t>HSS Client</t>
  </si>
  <si>
    <t>Geology Custom</t>
  </si>
  <si>
    <t>RW-012</t>
  </si>
  <si>
    <t>02-09-2024</t>
  </si>
  <si>
    <t>Geology C1</t>
  </si>
  <si>
    <t>RW-013</t>
  </si>
  <si>
    <t>03-09-2024</t>
  </si>
  <si>
    <t>Geology C2</t>
  </si>
  <si>
    <t>RW-014</t>
  </si>
  <si>
    <t>04-09-2024</t>
  </si>
  <si>
    <t>Geology C3</t>
  </si>
  <si>
    <t>RW-015</t>
  </si>
  <si>
    <t>05-09-2024</t>
  </si>
  <si>
    <t>Anime C1</t>
  </si>
  <si>
    <t>Anime Custom</t>
  </si>
  <si>
    <t>RW-016</t>
  </si>
  <si>
    <t>Anime C2</t>
  </si>
  <si>
    <t>RW-017</t>
  </si>
  <si>
    <t>Anime C3</t>
  </si>
  <si>
    <t>RW-018</t>
  </si>
  <si>
    <t>Anime C4</t>
  </si>
  <si>
    <t>RW-019</t>
  </si>
  <si>
    <t>Anime C5</t>
  </si>
  <si>
    <t>RW-020</t>
  </si>
  <si>
    <t>Drop 2 - Oct'24</t>
  </si>
  <si>
    <t>16-10-2024</t>
  </si>
  <si>
    <t>Customer 11</t>
  </si>
  <si>
    <t>One Piece Tee</t>
  </si>
  <si>
    <t>RW-021</t>
  </si>
  <si>
    <t>17-10-2024</t>
  </si>
  <si>
    <t>Customer 12</t>
  </si>
  <si>
    <t>RW-022</t>
  </si>
  <si>
    <t>18-10-2024</t>
  </si>
  <si>
    <t>Customer 13</t>
  </si>
  <si>
    <t>Premium Tee</t>
  </si>
  <si>
    <t>RW-023</t>
  </si>
  <si>
    <t>19-10-2024</t>
  </si>
  <si>
    <t>Customer 14</t>
  </si>
  <si>
    <t>RW-024</t>
  </si>
  <si>
    <t>20-10-2024</t>
  </si>
  <si>
    <t>Customer 15</t>
  </si>
  <si>
    <t>RW-025</t>
  </si>
  <si>
    <t>21-10-2024</t>
  </si>
  <si>
    <t>Zoro Client</t>
  </si>
  <si>
    <t>Zoro Custom</t>
  </si>
  <si>
    <t>RW-026</t>
  </si>
  <si>
    <t>22-10-2024</t>
  </si>
  <si>
    <t>VokeAI</t>
  </si>
  <si>
    <t>VokeAI Custom</t>
  </si>
  <si>
    <t>RW-027</t>
  </si>
  <si>
    <t>23-10-2024</t>
  </si>
  <si>
    <t>Dept</t>
  </si>
  <si>
    <t>Petro Dept</t>
  </si>
  <si>
    <t>RIFT WEAR — EXPENSE LOG</t>
  </si>
  <si>
    <t>Category: T-Shirts | DTF Print | Delivery | Marketing | Travel | Domain | Miscellaneous</t>
  </si>
  <si>
    <t>Category</t>
  </si>
  <si>
    <t>Drop / Event</t>
  </si>
  <si>
    <t>Description</t>
  </si>
  <si>
    <t>Amount (₹)</t>
  </si>
  <si>
    <t>Vendor</t>
  </si>
  <si>
    <t>Payment Mode</t>
  </si>
  <si>
    <t>Notes</t>
  </si>
  <si>
    <t>T-Shirts</t>
  </si>
  <si>
    <t>19x T-shirts from Whiscoop</t>
  </si>
  <si>
    <t>Whiscoop</t>
  </si>
  <si>
    <t>Cash</t>
  </si>
  <si>
    <t>211.66/T avg</t>
  </si>
  <si>
    <t>DTF Print</t>
  </si>
  <si>
    <t>19x DTF prints from Whiscoop</t>
  </si>
  <si>
    <t>165.79/T avg</t>
  </si>
  <si>
    <t>Marketing</t>
  </si>
  <si>
    <t>FilmFest</t>
  </si>
  <si>
    <t>5 tshirts gifted at FilmFest</t>
  </si>
  <si>
    <t>Internal</t>
  </si>
  <si>
    <t>Brand launch event at college</t>
  </si>
  <si>
    <t>Travel</t>
  </si>
  <si>
    <t>Bokaro Trip</t>
  </si>
  <si>
    <t>Travel to Bokaro for vendor meeting</t>
  </si>
  <si>
    <t>Fill actual amount</t>
  </si>
  <si>
    <t>01-08-2024</t>
  </si>
  <si>
    <t>Domain</t>
  </si>
  <si>
    <t>Annual</t>
  </si>
  <si>
    <t>riftwear.in domain renewal</t>
  </si>
  <si>
    <t>Domain Registrar</t>
  </si>
  <si>
    <t>UPI</t>
  </si>
  <si>
    <t>Annual cost</t>
  </si>
  <si>
    <t>7x T-shirts from OKB</t>
  </si>
  <si>
    <t>Own Knighted Blank</t>
  </si>
  <si>
    <t>187.8/T avg — cheaper than Whiscoop</t>
  </si>
  <si>
    <t>7x DTF prints</t>
  </si>
  <si>
    <t>Local Print Vendor</t>
  </si>
  <si>
    <t>157.14/T avg</t>
  </si>
  <si>
    <t>TOTAL EXPENSES</t>
  </si>
  <si>
    <t>RIFT WEAR — VENDOR DIRECTORY</t>
  </si>
  <si>
    <t>Track all vendors — tshirt suppliers, printers, platforms</t>
  </si>
  <si>
    <t>Vendor Name</t>
  </si>
  <si>
    <t>Type</t>
  </si>
  <si>
    <t>City</t>
  </si>
  <si>
    <t>Contact</t>
  </si>
  <si>
    <t>Avg T-shirt Cost (₹)</t>
  </si>
  <si>
    <t>Avg Print Cost (₹)</t>
  </si>
  <si>
    <t>Min Order</t>
  </si>
  <si>
    <t>Payment Terms</t>
  </si>
  <si>
    <t>T-shirt + Print</t>
  </si>
  <si>
    <t>Local</t>
  </si>
  <si>
    <t>1</t>
  </si>
  <si>
    <t>4th party — expensive. Used in Drop 1 only.</t>
  </si>
  <si>
    <t>T-shirt Wholesale</t>
  </si>
  <si>
    <t>Online</t>
  </si>
  <si>
    <t>Better price than Whiscoop. Used from Drop 2.</t>
  </si>
  <si>
    <t>DTF Print Only</t>
  </si>
  <si>
    <t>Near OKB, used in Drop 2. Cheaper print.</t>
  </si>
  <si>
    <t>Razorpay</t>
  </si>
  <si>
    <t>Payment Gateway</t>
  </si>
  <si>
    <t>-</t>
  </si>
  <si>
    <t>2.56%</t>
  </si>
  <si>
    <t>2.56% deducted per site order automatically</t>
  </si>
  <si>
    <t>Domain / Hosting</t>
  </si>
  <si>
    <t>riftwear.in — ₹683.22/yr</t>
  </si>
  <si>
    <t>RIFT WEAR — DROP-WISE P&amp;L</t>
  </si>
  <si>
    <t>One column per drop. Auto-calculated from Orders &amp; Expenses sheets.</t>
  </si>
  <si>
    <t>Metric</t>
  </si>
  <si>
    <t>Drop 1
Aug–Sep '24</t>
  </si>
  <si>
    <t>Drop 2
Oct '24</t>
  </si>
  <si>
    <t>Drop 3
(upcoming)</t>
  </si>
  <si>
    <t>Drop 4
(upcoming)</t>
  </si>
  <si>
    <t>Drop 5
(upcoming)</t>
  </si>
  <si>
    <t>Drop 6
(upcoming)</t>
  </si>
  <si>
    <t>ALL DROPS TOTAL</t>
  </si>
  <si>
    <t>── REVENUE ──</t>
  </si>
  <si>
    <t>Dept / Bulk Revenue</t>
  </si>
  <si>
    <t>Razorpay Fees</t>
  </si>
  <si>
    <t>Net Revenue Received</t>
  </si>
  <si>
    <t>── COSTS ──</t>
  </si>
  <si>
    <t>T-shirt Cost</t>
  </si>
  <si>
    <t>DTF Print Cost</t>
  </si>
  <si>
    <t>Delivery Cost</t>
  </si>
  <si>
    <t>Total COGS</t>
  </si>
  <si>
    <t>── PROFIT ──</t>
  </si>
  <si>
    <t>Gross Profit</t>
  </si>
  <si>
    <t>Drop-specific Expenses</t>
  </si>
  <si>
    <t>Net Profit</t>
  </si>
  <si>
    <t>Margin %</t>
  </si>
  <si>
    <t>── UNITS ──</t>
  </si>
  <si>
    <t>Avg Selling Price</t>
  </si>
  <si>
    <t>Cost per Unit</t>
  </si>
  <si>
    <t>Profit per Unit</t>
  </si>
  <si>
    <t>── OTHER ──</t>
  </si>
  <si>
    <t>Customer Satisfaction</t>
  </si>
  <si>
    <t>50%</t>
  </si>
  <si>
    <t>80%</t>
  </si>
  <si>
    <t>Delivery Date</t>
  </si>
  <si>
    <t>24-09-2024</t>
  </si>
  <si>
    <t>15-11-2024</t>
  </si>
  <si>
    <t>Total Revenue All</t>
  </si>
  <si>
    <t>Site Revenue Total</t>
  </si>
  <si>
    <t>Custom Revenue Total</t>
  </si>
  <si>
    <t>Razorpay Total</t>
  </si>
  <si>
    <t>Gross Profit Total</t>
  </si>
  <si>
    <t>Net Profit Total</t>
  </si>
  <si>
    <t>Overall Margin</t>
  </si>
  <si>
    <t>RIFT WEAR — PRODUCT CATALOG &amp; COGS</t>
  </si>
  <si>
    <t>Update costs here per drop. COGS = T-shirt cost + Print cost per unit</t>
  </si>
  <si>
    <t>Product Name</t>
  </si>
  <si>
    <t>Drop</t>
  </si>
  <si>
    <t>Design</t>
  </si>
  <si>
    <t>COGS per Unit (₹)</t>
  </si>
  <si>
    <t>Margin (₹)</t>
  </si>
  <si>
    <t>Vendor Used</t>
  </si>
  <si>
    <t>Drop 1</t>
  </si>
  <si>
    <t>GTA Design</t>
  </si>
  <si>
    <t>Graffiti Design</t>
  </si>
  <si>
    <t>Isometric Design</t>
  </si>
  <si>
    <t>Classic Design</t>
  </si>
  <si>
    <t>Geology Design</t>
  </si>
  <si>
    <t>Custom Anime</t>
  </si>
  <si>
    <t>HSS Custom</t>
  </si>
  <si>
    <t>Custom HSS</t>
  </si>
  <si>
    <t>Drop 2</t>
  </si>
  <si>
    <t>One Piece Design</t>
  </si>
  <si>
    <t>OKB + Local Print</t>
  </si>
  <si>
    <t>Premium Design</t>
  </si>
  <si>
    <t>Custom Zoro</t>
  </si>
  <si>
    <t>Custom VokeAI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</si>
</sst>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9"/>
      <color rgb="FF888888"/>
      <name val="Arial"/>
    </font>
    <font>
      <b/>
      <sz val="10"/>
      <color rgb="FFFFFFFF"/>
      <name val="Arial"/>
    </font>
    <font>
      <b/>
      <sz val="10"/>
      <color rgb="FF1A1A2E"/>
      <name val="Arial"/>
    </font>
    <font>
      <b/>
      <sz val="11"/>
      <color rgb="FF1A1A2E"/>
      <name val="Arial"/>
    </font>
    <font>
      <sz val="10"/>
      <color rgb="FF1A1A2E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sz val="10"/>
      <color rgb="FFAAAAAA"/>
      <name val="Arial"/>
    </font>
    <font>
      <sz val="9"/>
      <color rgb="FFAAAAAA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F0F0F5"/>
      </patternFill>
    </fill>
    <fill>
      <patternFill patternType="solid">
        <fgColor rgb="FFE94560"/>
      </patternFill>
    </fill>
    <fill>
      <patternFill patternType="solid">
        <fgColor rgb="FF555555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164" fontId="10" fillId="8" borderId="1" xfId="0" applyNumberFormat="1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164" fontId="11" fillId="0" borderId="0" xfId="0" applyNumberFormat="1" applyFont="1"/>
    <xf numFmtId="165" fontId="11" fillId="0" borderId="0" xfId="0" applyNumberFormat="1" applyFont="1"/>
    <xf numFmtId="164" fontId="5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  <xf numFmtId="0" fontId="0" fillId="0" borderId="0" xfId="0"/>
    <xf numFmtId="1" fontId="5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F5" sqref="F5:H5"/>
    </sheetView>
  </sheetViews>
  <sheetFormatPr defaultRowHeight="14.25" x14ac:dyDescent="0.45"/>
  <cols>
    <col min="1" max="1" width="36" customWidth="1"/>
    <col min="2" max="5" width="9" customWidth="1"/>
    <col min="6" max="6" width="18" customWidth="1"/>
    <col min="7" max="8" width="8" customWidth="1"/>
  </cols>
  <sheetData>
    <row r="1" spans="1:8" ht="38" customHeight="1" x14ac:dyDescent="0.45">
      <c r="A1" s="39" t="s">
        <v>0</v>
      </c>
      <c r="B1" s="36"/>
      <c r="C1" s="36"/>
      <c r="D1" s="36"/>
      <c r="E1" s="36"/>
      <c r="F1" s="36"/>
      <c r="G1" s="36"/>
      <c r="H1" s="36"/>
    </row>
    <row r="2" spans="1:8" ht="18" customHeight="1" x14ac:dyDescent="0.45">
      <c r="A2" s="41" t="s">
        <v>1</v>
      </c>
      <c r="B2" s="36"/>
      <c r="C2" s="36"/>
      <c r="D2" s="36"/>
      <c r="E2" s="36"/>
      <c r="F2" s="36"/>
      <c r="G2" s="36"/>
      <c r="H2" s="36"/>
    </row>
    <row r="4" spans="1:8" ht="24" customHeight="1" x14ac:dyDescent="0.45">
      <c r="A4" s="42" t="s">
        <v>2</v>
      </c>
      <c r="B4" s="36"/>
      <c r="C4" s="36"/>
      <c r="D4" s="36"/>
      <c r="E4" s="36"/>
      <c r="F4" s="36"/>
      <c r="G4" s="36"/>
      <c r="H4" s="36"/>
    </row>
    <row r="5" spans="1:8" ht="26" customHeight="1" x14ac:dyDescent="0.45">
      <c r="A5" s="34" t="s">
        <v>3</v>
      </c>
      <c r="B5" s="32"/>
      <c r="C5" s="32"/>
      <c r="D5" s="32"/>
      <c r="E5" s="33"/>
      <c r="F5" s="31">
        <f>'📊 Drop Summary'!C30</f>
        <v>17346.169999999998</v>
      </c>
      <c r="G5" s="32"/>
      <c r="H5" s="33"/>
    </row>
    <row r="6" spans="1:8" ht="26" customHeight="1" x14ac:dyDescent="0.45">
      <c r="A6" s="34" t="s">
        <v>4</v>
      </c>
      <c r="B6" s="32"/>
      <c r="C6" s="32"/>
      <c r="D6" s="32"/>
      <c r="E6" s="33"/>
      <c r="F6" s="31">
        <f>'📊 Drop Summary'!C31</f>
        <v>8785</v>
      </c>
      <c r="G6" s="32"/>
      <c r="H6" s="33"/>
    </row>
    <row r="7" spans="1:8" ht="26" customHeight="1" x14ac:dyDescent="0.45">
      <c r="A7" s="34" t="s">
        <v>5</v>
      </c>
      <c r="B7" s="32"/>
      <c r="C7" s="32"/>
      <c r="D7" s="32"/>
      <c r="E7" s="33"/>
      <c r="F7" s="31">
        <f>'📊 Drop Summary'!C32</f>
        <v>6689</v>
      </c>
      <c r="G7" s="32"/>
      <c r="H7" s="33"/>
    </row>
    <row r="8" spans="1:8" ht="26" customHeight="1" x14ac:dyDescent="0.45">
      <c r="A8" s="34" t="s">
        <v>6</v>
      </c>
      <c r="B8" s="32"/>
      <c r="C8" s="32"/>
      <c r="D8" s="32"/>
      <c r="E8" s="33"/>
      <c r="F8" s="31">
        <f>'📊 Drop Summary'!C33</f>
        <v>224.82999999999998</v>
      </c>
      <c r="G8" s="32"/>
      <c r="H8" s="33"/>
    </row>
    <row r="11" spans="1:8" ht="24" customHeight="1" x14ac:dyDescent="0.45">
      <c r="A11" s="38" t="s">
        <v>7</v>
      </c>
      <c r="B11" s="36"/>
      <c r="C11" s="36"/>
      <c r="D11" s="36"/>
      <c r="E11" s="36"/>
      <c r="F11" s="36"/>
      <c r="G11" s="36"/>
      <c r="H11" s="36"/>
    </row>
    <row r="12" spans="1:8" ht="26" customHeight="1" x14ac:dyDescent="0.45">
      <c r="A12" s="34" t="s">
        <v>8</v>
      </c>
      <c r="B12" s="32"/>
      <c r="C12" s="32"/>
      <c r="D12" s="32"/>
      <c r="E12" s="33"/>
      <c r="F12" s="31">
        <f>SUMIF('💸 Expenses'!B:B,"T-Shirts",'💸 Expenses'!E:E)</f>
        <v>5336.1</v>
      </c>
      <c r="G12" s="32"/>
      <c r="H12" s="33"/>
    </row>
    <row r="13" spans="1:8" ht="26" customHeight="1" x14ac:dyDescent="0.45">
      <c r="A13" s="34" t="s">
        <v>9</v>
      </c>
      <c r="B13" s="32"/>
      <c r="C13" s="32"/>
      <c r="D13" s="32"/>
      <c r="E13" s="33"/>
      <c r="F13" s="31">
        <f>SUMIF('💸 Expenses'!B:B,"DTF Print",'💸 Expenses'!E:E)</f>
        <v>4250</v>
      </c>
      <c r="G13" s="32"/>
      <c r="H13" s="33"/>
    </row>
    <row r="14" spans="1:8" ht="26" customHeight="1" x14ac:dyDescent="0.45">
      <c r="A14" s="34" t="s">
        <v>10</v>
      </c>
      <c r="B14" s="32"/>
      <c r="C14" s="32"/>
      <c r="D14" s="32"/>
      <c r="E14" s="33"/>
      <c r="F14" s="31">
        <f>SUMIF('💸 Expenses'!B:B,"Delivery",'💸 Expenses'!E:E)</f>
        <v>0</v>
      </c>
      <c r="G14" s="32"/>
      <c r="H14" s="33"/>
    </row>
    <row r="15" spans="1:8" ht="26" customHeight="1" x14ac:dyDescent="0.45">
      <c r="A15" s="34" t="s">
        <v>11</v>
      </c>
      <c r="B15" s="32"/>
      <c r="C15" s="32"/>
      <c r="D15" s="32"/>
      <c r="E15" s="33"/>
      <c r="F15" s="31">
        <f>SUMIF('💸 Expenses'!B:B,"Marketing",'💸 Expenses'!E:E)</f>
        <v>1750</v>
      </c>
      <c r="G15" s="32"/>
      <c r="H15" s="33"/>
    </row>
    <row r="16" spans="1:8" ht="26" customHeight="1" x14ac:dyDescent="0.45">
      <c r="A16" s="34" t="s">
        <v>12</v>
      </c>
      <c r="B16" s="32"/>
      <c r="C16" s="32"/>
      <c r="D16" s="32"/>
      <c r="E16" s="33"/>
      <c r="F16" s="31">
        <f>SUMIF('💸 Expenses'!B:B,"Travel",'💸 Expenses'!E:E)</f>
        <v>950</v>
      </c>
      <c r="G16" s="32"/>
      <c r="H16" s="33"/>
    </row>
    <row r="17" spans="1:8" ht="26" customHeight="1" x14ac:dyDescent="0.45">
      <c r="A17" s="34" t="s">
        <v>13</v>
      </c>
      <c r="B17" s="32"/>
      <c r="C17" s="32"/>
      <c r="D17" s="32"/>
      <c r="E17" s="33"/>
      <c r="F17" s="31">
        <f>SUM('💸 Expenses'!E:E)</f>
        <v>25938.639999999999</v>
      </c>
      <c r="G17" s="32"/>
      <c r="H17" s="33"/>
    </row>
    <row r="19" spans="1:8" ht="24" customHeight="1" x14ac:dyDescent="0.45">
      <c r="A19" s="43" t="s">
        <v>14</v>
      </c>
      <c r="B19" s="36"/>
      <c r="C19" s="36"/>
      <c r="D19" s="36"/>
      <c r="E19" s="36"/>
      <c r="F19" s="36"/>
      <c r="G19" s="36"/>
      <c r="H19" s="36"/>
    </row>
    <row r="20" spans="1:8" ht="26" customHeight="1" x14ac:dyDescent="0.45">
      <c r="A20" s="34" t="s">
        <v>15</v>
      </c>
      <c r="B20" s="32"/>
      <c r="C20" s="32"/>
      <c r="D20" s="32"/>
      <c r="E20" s="33"/>
      <c r="F20" s="31">
        <f>'📊 Drop Summary'!C34</f>
        <v>7760.07</v>
      </c>
      <c r="G20" s="32"/>
      <c r="H20" s="33"/>
    </row>
    <row r="21" spans="1:8" ht="26" customHeight="1" x14ac:dyDescent="0.45">
      <c r="A21" s="34" t="s">
        <v>16</v>
      </c>
      <c r="B21" s="32"/>
      <c r="C21" s="32"/>
      <c r="D21" s="32"/>
      <c r="E21" s="33"/>
      <c r="F21" s="31">
        <f>'📊 Drop Summary'!C35</f>
        <v>7760.07</v>
      </c>
      <c r="G21" s="32"/>
      <c r="H21" s="33"/>
    </row>
    <row r="22" spans="1:8" ht="26" customHeight="1" x14ac:dyDescent="0.45">
      <c r="A22" s="34" t="s">
        <v>17</v>
      </c>
      <c r="B22" s="32"/>
      <c r="C22" s="32"/>
      <c r="D22" s="32"/>
      <c r="E22" s="33"/>
      <c r="F22" s="40">
        <f>'📊 Drop Summary'!C36</f>
        <v>0.44736503793056337</v>
      </c>
      <c r="G22" s="32"/>
      <c r="H22" s="33"/>
    </row>
    <row r="24" spans="1:8" ht="24" customHeight="1" x14ac:dyDescent="0.45">
      <c r="A24" s="35" t="s">
        <v>18</v>
      </c>
      <c r="B24" s="36"/>
      <c r="C24" s="36"/>
      <c r="D24" s="36"/>
      <c r="E24" s="36"/>
      <c r="F24" s="36"/>
      <c r="G24" s="36"/>
      <c r="H24" s="36"/>
    </row>
    <row r="25" spans="1:8" ht="26" customHeight="1" x14ac:dyDescent="0.45">
      <c r="A25" s="34" t="s">
        <v>19</v>
      </c>
      <c r="B25" s="32"/>
      <c r="C25" s="32"/>
      <c r="D25" s="32"/>
      <c r="E25" s="33"/>
      <c r="F25" s="37">
        <f>COUNTA('🛒 Orders'!A4:A500)-COUNTBLANK('🛒 Orders'!A4:A500)</f>
        <v>-443</v>
      </c>
      <c r="G25" s="32"/>
      <c r="H25" s="33"/>
    </row>
    <row r="26" spans="1:8" ht="26" customHeight="1" x14ac:dyDescent="0.45">
      <c r="A26" s="34" t="s">
        <v>20</v>
      </c>
      <c r="B26" s="32"/>
      <c r="C26" s="32"/>
      <c r="D26" s="32"/>
      <c r="E26" s="33"/>
      <c r="F26" s="37">
        <f>COUNTIF('🛒 Orders'!D4:D500,"Site")</f>
        <v>15</v>
      </c>
      <c r="G26" s="32"/>
      <c r="H26" s="33"/>
    </row>
    <row r="27" spans="1:8" ht="26" customHeight="1" x14ac:dyDescent="0.45">
      <c r="A27" s="34" t="s">
        <v>21</v>
      </c>
      <c r="B27" s="32"/>
      <c r="C27" s="32"/>
      <c r="D27" s="32"/>
      <c r="E27" s="33"/>
      <c r="F27" s="37">
        <f>COUNTIF('🛒 Orders'!D4:D500,"Custom")</f>
        <v>11</v>
      </c>
      <c r="G27" s="32"/>
      <c r="H27" s="33"/>
    </row>
    <row r="28" spans="1:8" ht="26" customHeight="1" x14ac:dyDescent="0.45">
      <c r="A28" s="34" t="s">
        <v>22</v>
      </c>
      <c r="B28" s="32"/>
      <c r="C28" s="32"/>
      <c r="D28" s="32"/>
      <c r="E28" s="33"/>
      <c r="F28" s="37">
        <f>COUNTIF('🛒 Orders'!D4:D500,"Dept")</f>
        <v>1</v>
      </c>
      <c r="G28" s="32"/>
      <c r="H28" s="33"/>
    </row>
    <row r="29" spans="1:8" ht="26" customHeight="1" x14ac:dyDescent="0.45">
      <c r="A29" s="34" t="s">
        <v>23</v>
      </c>
      <c r="B29" s="32"/>
      <c r="C29" s="32"/>
      <c r="D29" s="32"/>
      <c r="E29" s="33"/>
      <c r="F29" s="37">
        <f>SUM('🛒 Orders'!F4:F500)</f>
        <v>29</v>
      </c>
      <c r="G29" s="32"/>
      <c r="H29" s="33"/>
    </row>
    <row r="30" spans="1:8" ht="26" customHeight="1" x14ac:dyDescent="0.45">
      <c r="A30" s="34" t="s">
        <v>24</v>
      </c>
      <c r="B30" s="32"/>
      <c r="C30" s="32"/>
      <c r="D30" s="32"/>
      <c r="E30" s="33"/>
      <c r="F30" s="31">
        <f>IFERROR(SUM('🛒 Orders'!H4:H500)/COUNTA('🛒 Orders'!A4:A500),0)</f>
        <v>650.77777777777783</v>
      </c>
      <c r="G30" s="32"/>
      <c r="H30" s="33"/>
    </row>
  </sheetData>
  <mergeCells count="44">
    <mergeCell ref="A2:H2"/>
    <mergeCell ref="A5:E5"/>
    <mergeCell ref="A14:E14"/>
    <mergeCell ref="A8:E8"/>
    <mergeCell ref="A22:E22"/>
    <mergeCell ref="A17:E17"/>
    <mergeCell ref="A4:H4"/>
    <mergeCell ref="F16:H16"/>
    <mergeCell ref="F6:H6"/>
    <mergeCell ref="A20:E20"/>
    <mergeCell ref="A19:H19"/>
    <mergeCell ref="F12:H12"/>
    <mergeCell ref="A13:E13"/>
    <mergeCell ref="F21:H21"/>
    <mergeCell ref="A1:H1"/>
    <mergeCell ref="A6:E6"/>
    <mergeCell ref="F22:H22"/>
    <mergeCell ref="F28:H28"/>
    <mergeCell ref="A16:E16"/>
    <mergeCell ref="F13:H13"/>
    <mergeCell ref="A7:E7"/>
    <mergeCell ref="A25:E25"/>
    <mergeCell ref="F27:H27"/>
    <mergeCell ref="F15:H15"/>
    <mergeCell ref="A27:E27"/>
    <mergeCell ref="A21:E21"/>
    <mergeCell ref="A12:E12"/>
    <mergeCell ref="A26:E26"/>
    <mergeCell ref="F14:H14"/>
    <mergeCell ref="F7:H7"/>
    <mergeCell ref="F20:H20"/>
    <mergeCell ref="A30:E30"/>
    <mergeCell ref="F5:H5"/>
    <mergeCell ref="A15:E15"/>
    <mergeCell ref="A24:H24"/>
    <mergeCell ref="F8:H8"/>
    <mergeCell ref="F26:H26"/>
    <mergeCell ref="A11:H11"/>
    <mergeCell ref="F17:H17"/>
    <mergeCell ref="F29:H29"/>
    <mergeCell ref="F25:H25"/>
    <mergeCell ref="A29:E29"/>
    <mergeCell ref="A28:E28"/>
    <mergeCell ref="F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tabSelected="1" topLeftCell="E1" workbookViewId="0">
      <pane ySplit="3" topLeftCell="A16" activePane="bottomLeft" state="frozen"/>
      <selection pane="bottomLeft" activeCell="H31" sqref="H31"/>
    </sheetView>
  </sheetViews>
  <sheetFormatPr defaultRowHeight="14.25" x14ac:dyDescent="0.45"/>
  <cols>
    <col min="1" max="1" width="10" customWidth="1"/>
    <col min="2" max="2" width="18" customWidth="1"/>
    <col min="3" max="3" width="13" customWidth="1"/>
    <col min="4" max="4" width="10" customWidth="1"/>
    <col min="5" max="5" width="20" customWidth="1"/>
    <col min="6" max="6" width="6" customWidth="1"/>
    <col min="7" max="7" width="22" customWidth="1"/>
    <col min="8" max="9" width="16" customWidth="1"/>
    <col min="10" max="10" width="18" customWidth="1"/>
    <col min="11" max="11" width="16" customWidth="1"/>
    <col min="12" max="12" width="14" customWidth="1"/>
    <col min="13" max="13" width="16" customWidth="1"/>
    <col min="14" max="16" width="14" customWidth="1"/>
  </cols>
  <sheetData>
    <row r="1" spans="1:16" ht="38" customHeight="1" x14ac:dyDescent="0.45">
      <c r="A1" s="39" t="s">
        <v>25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8" customHeight="1" x14ac:dyDescent="0.45">
      <c r="A2" s="41" t="s">
        <v>26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30" customHeight="1" x14ac:dyDescent="0.4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</row>
    <row r="4" spans="1:16" ht="22.05" customHeight="1" x14ac:dyDescent="0.45">
      <c r="A4" s="2" t="s">
        <v>43</v>
      </c>
      <c r="B4" s="3" t="s">
        <v>44</v>
      </c>
      <c r="C4" s="2" t="s">
        <v>45</v>
      </c>
      <c r="D4" s="2" t="s">
        <v>46</v>
      </c>
      <c r="E4" s="3" t="s">
        <v>47</v>
      </c>
      <c r="F4" s="2">
        <v>1</v>
      </c>
      <c r="G4" s="3" t="s">
        <v>48</v>
      </c>
      <c r="H4" s="4">
        <f>VLOOKUP(G4,'👕 Products'!A:G,7,0)*F4</f>
        <v>599</v>
      </c>
      <c r="I4" s="4">
        <f t="shared" ref="I4:I35" si="0">IF(D4="Site",ROUND(H4*0.0256,2),0)</f>
        <v>15.33</v>
      </c>
      <c r="J4" s="5">
        <f t="shared" ref="J4:J30" si="1">IF(D4="Site",H4-I4,H4)</f>
        <v>583.66999999999996</v>
      </c>
      <c r="K4" s="8">
        <f>VLOOKUP(G4,'👕 Products'!A:D,4,0)</f>
        <v>250</v>
      </c>
      <c r="L4" s="4">
        <f>VLOOKUP(G4,'👕 Products'!A:E,5,0)</f>
        <v>150</v>
      </c>
      <c r="M4" s="4">
        <v>0</v>
      </c>
      <c r="N4" s="4">
        <f t="shared" ref="N4:N35" si="2">IF(K4+L4+M4=0,"",K4+L4+M4)</f>
        <v>400</v>
      </c>
      <c r="O4" s="5">
        <f t="shared" ref="O4:O35" si="3">IF(H4="","",J4-N4)</f>
        <v>183.66999999999996</v>
      </c>
      <c r="P4" s="2"/>
    </row>
    <row r="5" spans="1:16" ht="22.05" customHeight="1" x14ac:dyDescent="0.45">
      <c r="A5" s="6" t="s">
        <v>49</v>
      </c>
      <c r="B5" s="7" t="s">
        <v>44</v>
      </c>
      <c r="C5" s="6" t="s">
        <v>50</v>
      </c>
      <c r="D5" s="6" t="s">
        <v>46</v>
      </c>
      <c r="E5" s="7" t="s">
        <v>51</v>
      </c>
      <c r="F5" s="6">
        <v>1</v>
      </c>
      <c r="G5" s="7" t="s">
        <v>52</v>
      </c>
      <c r="H5" s="4">
        <f>VLOOKUP(G5,'👕 Products'!A:G,7,0)*F5</f>
        <v>599</v>
      </c>
      <c r="I5" s="8">
        <f t="shared" si="0"/>
        <v>15.33</v>
      </c>
      <c r="J5" s="9">
        <f t="shared" si="1"/>
        <v>583.66999999999996</v>
      </c>
      <c r="K5" s="8">
        <f>VLOOKUP(G5,'👕 Products'!A:D,4,0)</f>
        <v>250</v>
      </c>
      <c r="L5" s="4">
        <f>VLOOKUP(G5,'👕 Products'!A:E,5,0)</f>
        <v>150</v>
      </c>
      <c r="M5" s="4">
        <v>0</v>
      </c>
      <c r="N5" s="8">
        <f t="shared" si="2"/>
        <v>400</v>
      </c>
      <c r="O5" s="9">
        <f t="shared" si="3"/>
        <v>183.66999999999996</v>
      </c>
      <c r="P5" s="6"/>
    </row>
    <row r="6" spans="1:16" ht="22.05" customHeight="1" x14ac:dyDescent="0.45">
      <c r="A6" s="2" t="s">
        <v>53</v>
      </c>
      <c r="B6" s="3" t="s">
        <v>44</v>
      </c>
      <c r="C6" s="2" t="s">
        <v>54</v>
      </c>
      <c r="D6" s="2" t="s">
        <v>46</v>
      </c>
      <c r="E6" s="3" t="s">
        <v>55</v>
      </c>
      <c r="F6" s="2">
        <v>1</v>
      </c>
      <c r="G6" s="3" t="s">
        <v>56</v>
      </c>
      <c r="H6" s="4">
        <f>VLOOKUP(G6,'👕 Products'!A:G,7,0)*F6</f>
        <v>499</v>
      </c>
      <c r="I6" s="4">
        <f t="shared" si="0"/>
        <v>12.77</v>
      </c>
      <c r="J6" s="5">
        <f t="shared" si="1"/>
        <v>486.23</v>
      </c>
      <c r="K6" s="8">
        <f>VLOOKUP(G6,'👕 Products'!A:D,4,0)</f>
        <v>200</v>
      </c>
      <c r="L6" s="4">
        <f>VLOOKUP(G6,'👕 Products'!A:E,5,0)</f>
        <v>150</v>
      </c>
      <c r="M6" s="4">
        <v>0</v>
      </c>
      <c r="N6" s="4">
        <f t="shared" si="2"/>
        <v>350</v>
      </c>
      <c r="O6" s="5">
        <f t="shared" si="3"/>
        <v>136.23000000000002</v>
      </c>
      <c r="P6" s="2"/>
    </row>
    <row r="7" spans="1:16" ht="22.05" customHeight="1" x14ac:dyDescent="0.45">
      <c r="A7" s="6" t="s">
        <v>57</v>
      </c>
      <c r="B7" s="7" t="s">
        <v>44</v>
      </c>
      <c r="C7" s="6" t="s">
        <v>58</v>
      </c>
      <c r="D7" s="6" t="s">
        <v>46</v>
      </c>
      <c r="E7" s="7" t="s">
        <v>59</v>
      </c>
      <c r="F7" s="6">
        <v>1</v>
      </c>
      <c r="G7" s="7" t="s">
        <v>60</v>
      </c>
      <c r="H7" s="4">
        <f>VLOOKUP(G7,'👕 Products'!A:G,7,0)*F7</f>
        <v>499</v>
      </c>
      <c r="I7" s="8">
        <f t="shared" si="0"/>
        <v>12.77</v>
      </c>
      <c r="J7" s="9">
        <f t="shared" si="1"/>
        <v>486.23</v>
      </c>
      <c r="K7" s="8">
        <f>VLOOKUP(G7,'👕 Products'!A:D,4,0)</f>
        <v>200</v>
      </c>
      <c r="L7" s="4">
        <f>VLOOKUP(G7,'👕 Products'!A:E,5,0)</f>
        <v>150</v>
      </c>
      <c r="M7" s="4">
        <v>0</v>
      </c>
      <c r="N7" s="8">
        <f t="shared" si="2"/>
        <v>350</v>
      </c>
      <c r="O7" s="9">
        <f t="shared" si="3"/>
        <v>136.23000000000002</v>
      </c>
      <c r="P7" s="6"/>
    </row>
    <row r="8" spans="1:16" ht="22.05" customHeight="1" x14ac:dyDescent="0.45">
      <c r="A8" s="2" t="s">
        <v>61</v>
      </c>
      <c r="B8" s="3" t="s">
        <v>44</v>
      </c>
      <c r="C8" s="2" t="s">
        <v>62</v>
      </c>
      <c r="D8" s="2" t="s">
        <v>46</v>
      </c>
      <c r="E8" s="3" t="s">
        <v>63</v>
      </c>
      <c r="F8" s="2">
        <v>1</v>
      </c>
      <c r="G8" s="3" t="s">
        <v>48</v>
      </c>
      <c r="H8" s="4">
        <f>VLOOKUP(G8,'👕 Products'!A:G,7,0)*F8</f>
        <v>599</v>
      </c>
      <c r="I8" s="4">
        <f t="shared" si="0"/>
        <v>15.33</v>
      </c>
      <c r="J8" s="5">
        <f t="shared" si="1"/>
        <v>583.66999999999996</v>
      </c>
      <c r="K8" s="8">
        <f>VLOOKUP(G8,'👕 Products'!A:D,4,0)</f>
        <v>250</v>
      </c>
      <c r="L8" s="4">
        <f>VLOOKUP(G8,'👕 Products'!A:E,5,0)</f>
        <v>150</v>
      </c>
      <c r="M8" s="4">
        <v>0</v>
      </c>
      <c r="N8" s="4">
        <f t="shared" si="2"/>
        <v>400</v>
      </c>
      <c r="O8" s="5">
        <f t="shared" si="3"/>
        <v>183.66999999999996</v>
      </c>
      <c r="P8" s="2"/>
    </row>
    <row r="9" spans="1:16" ht="22.05" customHeight="1" x14ac:dyDescent="0.45">
      <c r="A9" s="6" t="s">
        <v>64</v>
      </c>
      <c r="B9" s="7" t="s">
        <v>44</v>
      </c>
      <c r="C9" s="6" t="s">
        <v>65</v>
      </c>
      <c r="D9" s="6" t="s">
        <v>46</v>
      </c>
      <c r="E9" s="7" t="s">
        <v>66</v>
      </c>
      <c r="F9" s="6">
        <v>1</v>
      </c>
      <c r="G9" s="7" t="s">
        <v>67</v>
      </c>
      <c r="H9" s="4">
        <f>VLOOKUP(G9,'👕 Products'!A:G,7,0)*F9</f>
        <v>499</v>
      </c>
      <c r="I9" s="8">
        <f t="shared" si="0"/>
        <v>12.77</v>
      </c>
      <c r="J9" s="9">
        <f t="shared" si="1"/>
        <v>486.23</v>
      </c>
      <c r="K9" s="8">
        <f>VLOOKUP(G9,'👕 Products'!A:D,4,0)</f>
        <v>200</v>
      </c>
      <c r="L9" s="4">
        <f>VLOOKUP(G9,'👕 Products'!A:E,5,0)</f>
        <v>150</v>
      </c>
      <c r="M9" s="4">
        <v>0</v>
      </c>
      <c r="N9" s="8">
        <f t="shared" si="2"/>
        <v>350</v>
      </c>
      <c r="O9" s="9">
        <f t="shared" si="3"/>
        <v>136.23000000000002</v>
      </c>
      <c r="P9" s="6"/>
    </row>
    <row r="10" spans="1:16" ht="22.05" customHeight="1" x14ac:dyDescent="0.45">
      <c r="A10" s="2" t="s">
        <v>68</v>
      </c>
      <c r="B10" s="3" t="s">
        <v>44</v>
      </c>
      <c r="C10" s="2" t="s">
        <v>69</v>
      </c>
      <c r="D10" s="2" t="s">
        <v>46</v>
      </c>
      <c r="E10" s="3" t="s">
        <v>70</v>
      </c>
      <c r="F10" s="2">
        <v>1</v>
      </c>
      <c r="G10" s="3" t="s">
        <v>52</v>
      </c>
      <c r="H10" s="4">
        <f>VLOOKUP(G10,'👕 Products'!A:G,7,0)*F10</f>
        <v>599</v>
      </c>
      <c r="I10" s="4">
        <f t="shared" si="0"/>
        <v>15.33</v>
      </c>
      <c r="J10" s="5">
        <f t="shared" si="1"/>
        <v>583.66999999999996</v>
      </c>
      <c r="K10" s="8">
        <f>VLOOKUP(G10,'👕 Products'!A:D,4,0)</f>
        <v>250</v>
      </c>
      <c r="L10" s="4">
        <f>VLOOKUP(G10,'👕 Products'!A:E,5,0)</f>
        <v>150</v>
      </c>
      <c r="M10" s="4">
        <v>0</v>
      </c>
      <c r="N10" s="4">
        <f t="shared" si="2"/>
        <v>400</v>
      </c>
      <c r="O10" s="5">
        <f t="shared" si="3"/>
        <v>183.66999999999996</v>
      </c>
      <c r="P10" s="2"/>
    </row>
    <row r="11" spans="1:16" ht="22.05" customHeight="1" x14ac:dyDescent="0.45">
      <c r="A11" s="6" t="s">
        <v>71</v>
      </c>
      <c r="B11" s="7" t="s">
        <v>44</v>
      </c>
      <c r="C11" s="6" t="s">
        <v>72</v>
      </c>
      <c r="D11" s="6" t="s">
        <v>46</v>
      </c>
      <c r="E11" s="7" t="s">
        <v>73</v>
      </c>
      <c r="F11" s="6">
        <v>1</v>
      </c>
      <c r="G11" s="7" t="s">
        <v>60</v>
      </c>
      <c r="H11" s="4">
        <f>VLOOKUP(G11,'👕 Products'!A:G,7,0)*F11</f>
        <v>499</v>
      </c>
      <c r="I11" s="8">
        <f t="shared" si="0"/>
        <v>12.77</v>
      </c>
      <c r="J11" s="9">
        <f t="shared" si="1"/>
        <v>486.23</v>
      </c>
      <c r="K11" s="8">
        <f>VLOOKUP(G11,'👕 Products'!A:D,4,0)</f>
        <v>200</v>
      </c>
      <c r="L11" s="4">
        <f>VLOOKUP(G11,'👕 Products'!A:E,5,0)</f>
        <v>150</v>
      </c>
      <c r="M11" s="4">
        <v>0</v>
      </c>
      <c r="N11" s="8">
        <f t="shared" si="2"/>
        <v>350</v>
      </c>
      <c r="O11" s="9">
        <f t="shared" si="3"/>
        <v>136.23000000000002</v>
      </c>
      <c r="P11" s="6"/>
    </row>
    <row r="12" spans="1:16" ht="22.05" customHeight="1" x14ac:dyDescent="0.45">
      <c r="A12" s="2" t="s">
        <v>74</v>
      </c>
      <c r="B12" s="3" t="s">
        <v>44</v>
      </c>
      <c r="C12" s="2" t="s">
        <v>75</v>
      </c>
      <c r="D12" s="2" t="s">
        <v>46</v>
      </c>
      <c r="E12" s="3" t="s">
        <v>76</v>
      </c>
      <c r="F12" s="2">
        <v>1</v>
      </c>
      <c r="G12" s="3" t="s">
        <v>56</v>
      </c>
      <c r="H12" s="4">
        <f>VLOOKUP(G12,'👕 Products'!A:G,7,0)*F12</f>
        <v>499</v>
      </c>
      <c r="I12" s="4">
        <f t="shared" si="0"/>
        <v>12.77</v>
      </c>
      <c r="J12" s="5">
        <f t="shared" si="1"/>
        <v>486.23</v>
      </c>
      <c r="K12" s="8">
        <f>VLOOKUP(G12,'👕 Products'!A:D,4,0)</f>
        <v>200</v>
      </c>
      <c r="L12" s="4">
        <f>VLOOKUP(G12,'👕 Products'!A:E,5,0)</f>
        <v>150</v>
      </c>
      <c r="M12" s="4">
        <v>0</v>
      </c>
      <c r="N12" s="4">
        <f t="shared" si="2"/>
        <v>350</v>
      </c>
      <c r="O12" s="5">
        <f t="shared" si="3"/>
        <v>136.23000000000002</v>
      </c>
      <c r="P12" s="2"/>
    </row>
    <row r="13" spans="1:16" ht="22.05" customHeight="1" x14ac:dyDescent="0.45">
      <c r="A13" s="6" t="s">
        <v>77</v>
      </c>
      <c r="B13" s="7" t="s">
        <v>44</v>
      </c>
      <c r="C13" s="6" t="s">
        <v>78</v>
      </c>
      <c r="D13" s="6" t="s">
        <v>46</v>
      </c>
      <c r="E13" s="7" t="s">
        <v>79</v>
      </c>
      <c r="F13" s="6">
        <v>1</v>
      </c>
      <c r="G13" s="7" t="s">
        <v>48</v>
      </c>
      <c r="H13" s="4">
        <f>VLOOKUP(G13,'👕 Products'!A:G,7,0)*F13</f>
        <v>599</v>
      </c>
      <c r="I13" s="8">
        <f t="shared" si="0"/>
        <v>15.33</v>
      </c>
      <c r="J13" s="9">
        <f t="shared" si="1"/>
        <v>583.66999999999996</v>
      </c>
      <c r="K13" s="8">
        <f>VLOOKUP(G13,'👕 Products'!A:D,4,0)</f>
        <v>250</v>
      </c>
      <c r="L13" s="4">
        <f>VLOOKUP(G13,'👕 Products'!A:E,5,0)</f>
        <v>150</v>
      </c>
      <c r="M13" s="4">
        <v>0</v>
      </c>
      <c r="N13" s="8">
        <f t="shared" si="2"/>
        <v>400</v>
      </c>
      <c r="O13" s="9">
        <f t="shared" si="3"/>
        <v>183.66999999999996</v>
      </c>
      <c r="P13" s="6"/>
    </row>
    <row r="14" spans="1:16" ht="22.05" customHeight="1" x14ac:dyDescent="0.45">
      <c r="A14" s="2" t="s">
        <v>80</v>
      </c>
      <c r="B14" s="3" t="s">
        <v>44</v>
      </c>
      <c r="C14" s="2" t="s">
        <v>81</v>
      </c>
      <c r="D14" s="2" t="s">
        <v>82</v>
      </c>
      <c r="E14" s="3" t="s">
        <v>83</v>
      </c>
      <c r="F14" s="2">
        <v>1</v>
      </c>
      <c r="G14" s="3" t="s">
        <v>84</v>
      </c>
      <c r="H14" s="4">
        <f>VLOOKUP(G14,'👕 Products'!A:G,7,0)*F14</f>
        <v>499</v>
      </c>
      <c r="I14" s="4">
        <f t="shared" si="0"/>
        <v>0</v>
      </c>
      <c r="J14" s="5">
        <f t="shared" si="1"/>
        <v>499</v>
      </c>
      <c r="K14" s="8">
        <f>VLOOKUP(G14,'👕 Products'!A:D,4,0)</f>
        <v>200</v>
      </c>
      <c r="L14" s="4">
        <f>VLOOKUP(G14,'👕 Products'!A:E,5,0)</f>
        <v>200</v>
      </c>
      <c r="M14" s="4">
        <v>0</v>
      </c>
      <c r="N14" s="4">
        <f t="shared" si="2"/>
        <v>400</v>
      </c>
      <c r="O14" s="5">
        <f t="shared" si="3"/>
        <v>99</v>
      </c>
      <c r="P14" s="2"/>
    </row>
    <row r="15" spans="1:16" ht="22.05" customHeight="1" x14ac:dyDescent="0.45">
      <c r="A15" s="6" t="s">
        <v>85</v>
      </c>
      <c r="B15" s="7" t="s">
        <v>44</v>
      </c>
      <c r="C15" s="6" t="s">
        <v>86</v>
      </c>
      <c r="D15" s="6" t="s">
        <v>82</v>
      </c>
      <c r="E15" s="7" t="s">
        <v>87</v>
      </c>
      <c r="F15" s="6">
        <v>1</v>
      </c>
      <c r="G15" s="7" t="s">
        <v>84</v>
      </c>
      <c r="H15" s="4">
        <f>VLOOKUP(G15,'👕 Products'!A:G,7,0)*F15</f>
        <v>499</v>
      </c>
      <c r="I15" s="8">
        <f t="shared" si="0"/>
        <v>0</v>
      </c>
      <c r="J15" s="9">
        <f t="shared" si="1"/>
        <v>499</v>
      </c>
      <c r="K15" s="8">
        <f>VLOOKUP(G15,'👕 Products'!A:D,4,0)</f>
        <v>200</v>
      </c>
      <c r="L15" s="4">
        <f>VLOOKUP(G15,'👕 Products'!A:E,5,0)</f>
        <v>200</v>
      </c>
      <c r="M15" s="4">
        <v>0</v>
      </c>
      <c r="N15" s="8">
        <f t="shared" si="2"/>
        <v>400</v>
      </c>
      <c r="O15" s="9">
        <f t="shared" si="3"/>
        <v>99</v>
      </c>
      <c r="P15" s="6"/>
    </row>
    <row r="16" spans="1:16" ht="22.05" customHeight="1" x14ac:dyDescent="0.45">
      <c r="A16" s="2" t="s">
        <v>88</v>
      </c>
      <c r="B16" s="3" t="s">
        <v>44</v>
      </c>
      <c r="C16" s="2" t="s">
        <v>89</v>
      </c>
      <c r="D16" s="2" t="s">
        <v>82</v>
      </c>
      <c r="E16" s="3" t="s">
        <v>90</v>
      </c>
      <c r="F16" s="2">
        <v>1</v>
      </c>
      <c r="G16" s="3" t="s">
        <v>84</v>
      </c>
      <c r="H16" s="4">
        <f>VLOOKUP(G16,'👕 Products'!A:G,7,0)*F16</f>
        <v>499</v>
      </c>
      <c r="I16" s="4">
        <f t="shared" si="0"/>
        <v>0</v>
      </c>
      <c r="J16" s="5">
        <f t="shared" si="1"/>
        <v>499</v>
      </c>
      <c r="K16" s="8">
        <f>VLOOKUP(G16,'👕 Products'!A:D,4,0)</f>
        <v>200</v>
      </c>
      <c r="L16" s="4">
        <f>VLOOKUP(G16,'👕 Products'!A:E,5,0)</f>
        <v>200</v>
      </c>
      <c r="M16" s="4">
        <v>0</v>
      </c>
      <c r="N16" s="4">
        <f t="shared" si="2"/>
        <v>400</v>
      </c>
      <c r="O16" s="5">
        <f t="shared" si="3"/>
        <v>99</v>
      </c>
      <c r="P16" s="2"/>
    </row>
    <row r="17" spans="1:16" ht="22.05" customHeight="1" x14ac:dyDescent="0.45">
      <c r="A17" s="6" t="s">
        <v>91</v>
      </c>
      <c r="B17" s="7" t="s">
        <v>44</v>
      </c>
      <c r="C17" s="6" t="s">
        <v>92</v>
      </c>
      <c r="D17" s="6" t="s">
        <v>82</v>
      </c>
      <c r="E17" s="7" t="s">
        <v>93</v>
      </c>
      <c r="F17" s="6">
        <v>1</v>
      </c>
      <c r="G17" s="7" t="s">
        <v>84</v>
      </c>
      <c r="H17" s="4">
        <f>VLOOKUP(G17,'👕 Products'!A:G,7,0)*F17</f>
        <v>499</v>
      </c>
      <c r="I17" s="8">
        <f t="shared" si="0"/>
        <v>0</v>
      </c>
      <c r="J17" s="9">
        <f t="shared" si="1"/>
        <v>499</v>
      </c>
      <c r="K17" s="8">
        <f>VLOOKUP(G17,'👕 Products'!A:D,4,0)</f>
        <v>200</v>
      </c>
      <c r="L17" s="4">
        <f>VLOOKUP(G17,'👕 Products'!A:E,5,0)</f>
        <v>200</v>
      </c>
      <c r="M17" s="4">
        <v>0</v>
      </c>
      <c r="N17" s="8">
        <f t="shared" si="2"/>
        <v>400</v>
      </c>
      <c r="O17" s="9">
        <f t="shared" si="3"/>
        <v>99</v>
      </c>
      <c r="P17" s="6"/>
    </row>
    <row r="18" spans="1:16" ht="22.05" customHeight="1" x14ac:dyDescent="0.45">
      <c r="A18" s="2" t="s">
        <v>94</v>
      </c>
      <c r="B18" s="3" t="s">
        <v>44</v>
      </c>
      <c r="C18" s="2" t="s">
        <v>95</v>
      </c>
      <c r="D18" s="2" t="s">
        <v>82</v>
      </c>
      <c r="E18" s="3" t="s">
        <v>96</v>
      </c>
      <c r="F18" s="2">
        <v>1</v>
      </c>
      <c r="G18" s="3" t="s">
        <v>97</v>
      </c>
      <c r="H18" s="4">
        <f>VLOOKUP(G18,'👕 Products'!A:G,7,0)*F18</f>
        <v>699</v>
      </c>
      <c r="I18" s="4">
        <f t="shared" si="0"/>
        <v>0</v>
      </c>
      <c r="J18" s="5">
        <f t="shared" si="1"/>
        <v>699</v>
      </c>
      <c r="K18" s="8">
        <f>VLOOKUP(G18,'👕 Products'!A:D,4,0)</f>
        <v>300</v>
      </c>
      <c r="L18" s="4">
        <f>VLOOKUP(G18,'👕 Products'!A:E,5,0)</f>
        <v>200</v>
      </c>
      <c r="M18" s="4">
        <v>0</v>
      </c>
      <c r="N18" s="4">
        <f t="shared" si="2"/>
        <v>500</v>
      </c>
      <c r="O18" s="5">
        <f t="shared" si="3"/>
        <v>199</v>
      </c>
      <c r="P18" s="2"/>
    </row>
    <row r="19" spans="1:16" ht="22.05" customHeight="1" x14ac:dyDescent="0.45">
      <c r="A19" s="6" t="s">
        <v>98</v>
      </c>
      <c r="B19" s="7" t="s">
        <v>44</v>
      </c>
      <c r="C19" s="6" t="s">
        <v>95</v>
      </c>
      <c r="D19" s="6" t="s">
        <v>82</v>
      </c>
      <c r="E19" s="7" t="s">
        <v>99</v>
      </c>
      <c r="F19" s="6">
        <v>1</v>
      </c>
      <c r="G19" s="7" t="s">
        <v>97</v>
      </c>
      <c r="H19" s="4">
        <f>VLOOKUP(G19,'👕 Products'!A:G,7,0)*F19</f>
        <v>699</v>
      </c>
      <c r="I19" s="8">
        <f t="shared" si="0"/>
        <v>0</v>
      </c>
      <c r="J19" s="9">
        <f t="shared" si="1"/>
        <v>699</v>
      </c>
      <c r="K19" s="8">
        <f>VLOOKUP(G19,'👕 Products'!A:D,4,0)</f>
        <v>300</v>
      </c>
      <c r="L19" s="4">
        <f>VLOOKUP(G19,'👕 Products'!A:E,5,0)</f>
        <v>200</v>
      </c>
      <c r="M19" s="4">
        <v>0</v>
      </c>
      <c r="N19" s="8">
        <f t="shared" si="2"/>
        <v>500</v>
      </c>
      <c r="O19" s="9">
        <f t="shared" si="3"/>
        <v>199</v>
      </c>
      <c r="P19" s="6"/>
    </row>
    <row r="20" spans="1:16" ht="22.05" customHeight="1" x14ac:dyDescent="0.45">
      <c r="A20" s="2" t="s">
        <v>100</v>
      </c>
      <c r="B20" s="3" t="s">
        <v>44</v>
      </c>
      <c r="C20" s="2" t="s">
        <v>95</v>
      </c>
      <c r="D20" s="2" t="s">
        <v>82</v>
      </c>
      <c r="E20" s="3" t="s">
        <v>101</v>
      </c>
      <c r="F20" s="2">
        <v>1</v>
      </c>
      <c r="G20" s="3" t="s">
        <v>97</v>
      </c>
      <c r="H20" s="4">
        <f>VLOOKUP(G20,'👕 Products'!A:G,7,0)*F20</f>
        <v>699</v>
      </c>
      <c r="I20" s="4">
        <f t="shared" si="0"/>
        <v>0</v>
      </c>
      <c r="J20" s="5">
        <f t="shared" si="1"/>
        <v>699</v>
      </c>
      <c r="K20" s="8">
        <f>VLOOKUP(G20,'👕 Products'!A:D,4,0)</f>
        <v>300</v>
      </c>
      <c r="L20" s="4">
        <f>VLOOKUP(G20,'👕 Products'!A:E,5,0)</f>
        <v>200</v>
      </c>
      <c r="M20" s="4">
        <v>0</v>
      </c>
      <c r="N20" s="4">
        <f t="shared" si="2"/>
        <v>500</v>
      </c>
      <c r="O20" s="5">
        <f t="shared" si="3"/>
        <v>199</v>
      </c>
      <c r="P20" s="2"/>
    </row>
    <row r="21" spans="1:16" ht="22.05" customHeight="1" x14ac:dyDescent="0.45">
      <c r="A21" s="6" t="s">
        <v>102</v>
      </c>
      <c r="B21" s="7" t="s">
        <v>44</v>
      </c>
      <c r="C21" s="6" t="s">
        <v>95</v>
      </c>
      <c r="D21" s="6" t="s">
        <v>82</v>
      </c>
      <c r="E21" s="7" t="s">
        <v>103</v>
      </c>
      <c r="F21" s="6">
        <v>1</v>
      </c>
      <c r="G21" s="7" t="s">
        <v>97</v>
      </c>
      <c r="H21" s="4">
        <f>VLOOKUP(G21,'👕 Products'!A:G,7,0)*F21</f>
        <v>699</v>
      </c>
      <c r="I21" s="8">
        <f t="shared" si="0"/>
        <v>0</v>
      </c>
      <c r="J21" s="9">
        <f t="shared" si="1"/>
        <v>699</v>
      </c>
      <c r="K21" s="8">
        <f>VLOOKUP(G21,'👕 Products'!A:D,4,0)</f>
        <v>300</v>
      </c>
      <c r="L21" s="4">
        <f>VLOOKUP(G21,'👕 Products'!A:E,5,0)</f>
        <v>200</v>
      </c>
      <c r="M21" s="4">
        <v>0</v>
      </c>
      <c r="N21" s="8">
        <f t="shared" si="2"/>
        <v>500</v>
      </c>
      <c r="O21" s="9">
        <f t="shared" si="3"/>
        <v>199</v>
      </c>
      <c r="P21" s="6"/>
    </row>
    <row r="22" spans="1:16" ht="22.05" customHeight="1" x14ac:dyDescent="0.45">
      <c r="A22" s="2" t="s">
        <v>104</v>
      </c>
      <c r="B22" s="3" t="s">
        <v>44</v>
      </c>
      <c r="C22" s="2" t="s">
        <v>95</v>
      </c>
      <c r="D22" s="2" t="s">
        <v>82</v>
      </c>
      <c r="E22" s="3" t="s">
        <v>105</v>
      </c>
      <c r="F22" s="2">
        <v>1</v>
      </c>
      <c r="G22" s="3" t="s">
        <v>97</v>
      </c>
      <c r="H22" s="4">
        <f>VLOOKUP(G22,'👕 Products'!A:G,7,0)*F22</f>
        <v>699</v>
      </c>
      <c r="I22" s="4">
        <f t="shared" si="0"/>
        <v>0</v>
      </c>
      <c r="J22" s="5">
        <f t="shared" si="1"/>
        <v>699</v>
      </c>
      <c r="K22" s="8">
        <f>VLOOKUP(G22,'👕 Products'!A:D,4,0)</f>
        <v>300</v>
      </c>
      <c r="L22" s="4">
        <f>VLOOKUP(G22,'👕 Products'!A:E,5,0)</f>
        <v>200</v>
      </c>
      <c r="M22" s="4">
        <v>0</v>
      </c>
      <c r="N22" s="4">
        <f t="shared" si="2"/>
        <v>500</v>
      </c>
      <c r="O22" s="5">
        <f t="shared" si="3"/>
        <v>199</v>
      </c>
      <c r="P22" s="2"/>
    </row>
    <row r="23" spans="1:16" ht="22.05" customHeight="1" x14ac:dyDescent="0.45">
      <c r="A23" s="6" t="s">
        <v>106</v>
      </c>
      <c r="B23" s="7" t="s">
        <v>107</v>
      </c>
      <c r="C23" s="6" t="s">
        <v>108</v>
      </c>
      <c r="D23" s="6" t="s">
        <v>46</v>
      </c>
      <c r="E23" s="7" t="s">
        <v>109</v>
      </c>
      <c r="F23" s="6">
        <v>1</v>
      </c>
      <c r="G23" s="7" t="s">
        <v>110</v>
      </c>
      <c r="H23" s="4">
        <f>VLOOKUP(G23,'👕 Products'!A:G,7,0)*F23</f>
        <v>699</v>
      </c>
      <c r="I23" s="8">
        <f t="shared" si="0"/>
        <v>17.89</v>
      </c>
      <c r="J23" s="9">
        <f t="shared" si="1"/>
        <v>681.11</v>
      </c>
      <c r="K23" s="8">
        <f>VLOOKUP(G23,'👕 Products'!A:D,4,0)</f>
        <v>200</v>
      </c>
      <c r="L23" s="4">
        <f>VLOOKUP(G23,'👕 Products'!A:E,5,0)</f>
        <v>200</v>
      </c>
      <c r="M23" s="4">
        <v>0</v>
      </c>
      <c r="N23" s="8">
        <f t="shared" si="2"/>
        <v>400</v>
      </c>
      <c r="O23" s="9">
        <f t="shared" si="3"/>
        <v>281.11</v>
      </c>
      <c r="P23" s="6"/>
    </row>
    <row r="24" spans="1:16" ht="22.05" customHeight="1" x14ac:dyDescent="0.45">
      <c r="A24" s="2" t="s">
        <v>111</v>
      </c>
      <c r="B24" s="3" t="s">
        <v>107</v>
      </c>
      <c r="C24" s="2" t="s">
        <v>112</v>
      </c>
      <c r="D24" s="2" t="s">
        <v>46</v>
      </c>
      <c r="E24" s="3" t="s">
        <v>113</v>
      </c>
      <c r="F24" s="2">
        <v>1</v>
      </c>
      <c r="G24" s="3" t="s">
        <v>110</v>
      </c>
      <c r="H24" s="4">
        <f>VLOOKUP(G24,'👕 Products'!A:G,7,0)*F24</f>
        <v>699</v>
      </c>
      <c r="I24" s="4">
        <f t="shared" si="0"/>
        <v>17.89</v>
      </c>
      <c r="J24" s="5">
        <f t="shared" si="1"/>
        <v>681.11</v>
      </c>
      <c r="K24" s="8">
        <f>VLOOKUP(G24,'👕 Products'!A:D,4,0)</f>
        <v>200</v>
      </c>
      <c r="L24" s="4">
        <f>VLOOKUP(G24,'👕 Products'!A:E,5,0)</f>
        <v>200</v>
      </c>
      <c r="M24" s="4">
        <v>0</v>
      </c>
      <c r="N24" s="4">
        <f t="shared" si="2"/>
        <v>400</v>
      </c>
      <c r="O24" s="5">
        <f t="shared" si="3"/>
        <v>281.11</v>
      </c>
      <c r="P24" s="2"/>
    </row>
    <row r="25" spans="1:16" ht="22.05" customHeight="1" x14ac:dyDescent="0.45">
      <c r="A25" s="6" t="s">
        <v>114</v>
      </c>
      <c r="B25" s="7" t="s">
        <v>107</v>
      </c>
      <c r="C25" s="6" t="s">
        <v>115</v>
      </c>
      <c r="D25" s="6" t="s">
        <v>46</v>
      </c>
      <c r="E25" s="7" t="s">
        <v>116</v>
      </c>
      <c r="F25" s="6">
        <v>1</v>
      </c>
      <c r="G25" s="7" t="s">
        <v>117</v>
      </c>
      <c r="H25" s="4">
        <f>VLOOKUP(G25,'👕 Products'!A:G,7,0)*F25</f>
        <v>599</v>
      </c>
      <c r="I25" s="8">
        <f t="shared" si="0"/>
        <v>15.33</v>
      </c>
      <c r="J25" s="9">
        <f t="shared" si="1"/>
        <v>583.66999999999996</v>
      </c>
      <c r="K25" s="8">
        <f>VLOOKUP(G25,'👕 Products'!A:D,4,0)</f>
        <v>200</v>
      </c>
      <c r="L25" s="4">
        <f>VLOOKUP(G25,'👕 Products'!A:E,5,0)</f>
        <v>200</v>
      </c>
      <c r="M25" s="4">
        <v>0</v>
      </c>
      <c r="N25" s="8">
        <f t="shared" si="2"/>
        <v>400</v>
      </c>
      <c r="O25" s="9">
        <f t="shared" si="3"/>
        <v>183.66999999999996</v>
      </c>
      <c r="P25" s="6"/>
    </row>
    <row r="26" spans="1:16" ht="22.05" customHeight="1" x14ac:dyDescent="0.45">
      <c r="A26" s="2" t="s">
        <v>118</v>
      </c>
      <c r="B26" s="3" t="s">
        <v>107</v>
      </c>
      <c r="C26" s="2" t="s">
        <v>119</v>
      </c>
      <c r="D26" s="2" t="s">
        <v>46</v>
      </c>
      <c r="E26" s="3" t="s">
        <v>120</v>
      </c>
      <c r="F26" s="2">
        <v>1</v>
      </c>
      <c r="G26" s="3" t="s">
        <v>110</v>
      </c>
      <c r="H26" s="4">
        <f>VLOOKUP(G26,'👕 Products'!A:G,7,0)*F26</f>
        <v>699</v>
      </c>
      <c r="I26" s="4">
        <f t="shared" si="0"/>
        <v>17.89</v>
      </c>
      <c r="J26" s="5">
        <f t="shared" si="1"/>
        <v>681.11</v>
      </c>
      <c r="K26" s="8">
        <f>VLOOKUP(G26,'👕 Products'!A:D,4,0)</f>
        <v>200</v>
      </c>
      <c r="L26" s="4">
        <f>VLOOKUP(G26,'👕 Products'!A:E,5,0)</f>
        <v>200</v>
      </c>
      <c r="M26" s="4">
        <v>0</v>
      </c>
      <c r="N26" s="4">
        <f t="shared" si="2"/>
        <v>400</v>
      </c>
      <c r="O26" s="5">
        <f t="shared" si="3"/>
        <v>281.11</v>
      </c>
      <c r="P26" s="2"/>
    </row>
    <row r="27" spans="1:16" ht="22.05" customHeight="1" x14ac:dyDescent="0.45">
      <c r="A27" s="6" t="s">
        <v>121</v>
      </c>
      <c r="B27" s="7" t="s">
        <v>107</v>
      </c>
      <c r="C27" s="6" t="s">
        <v>122</v>
      </c>
      <c r="D27" s="6" t="s">
        <v>46</v>
      </c>
      <c r="E27" s="7" t="s">
        <v>123</v>
      </c>
      <c r="F27" s="6">
        <v>1</v>
      </c>
      <c r="G27" s="7" t="s">
        <v>117</v>
      </c>
      <c r="H27" s="4">
        <f>VLOOKUP(G27,'👕 Products'!A:G,7,0)*F27</f>
        <v>599</v>
      </c>
      <c r="I27" s="8">
        <f t="shared" si="0"/>
        <v>15.33</v>
      </c>
      <c r="J27" s="9">
        <f t="shared" si="1"/>
        <v>583.66999999999996</v>
      </c>
      <c r="K27" s="8">
        <f>VLOOKUP(G27,'👕 Products'!A:D,4,0)</f>
        <v>200</v>
      </c>
      <c r="L27" s="4">
        <f>VLOOKUP(G27,'👕 Products'!A:E,5,0)</f>
        <v>200</v>
      </c>
      <c r="M27" s="4">
        <v>0</v>
      </c>
      <c r="N27" s="8">
        <f t="shared" si="2"/>
        <v>400</v>
      </c>
      <c r="O27" s="9">
        <f t="shared" si="3"/>
        <v>183.66999999999996</v>
      </c>
      <c r="P27" s="6"/>
    </row>
    <row r="28" spans="1:16" ht="22.05" customHeight="1" x14ac:dyDescent="0.45">
      <c r="A28" s="2" t="s">
        <v>124</v>
      </c>
      <c r="B28" s="3" t="s">
        <v>107</v>
      </c>
      <c r="C28" s="2" t="s">
        <v>125</v>
      </c>
      <c r="D28" s="2" t="s">
        <v>82</v>
      </c>
      <c r="E28" s="3" t="s">
        <v>126</v>
      </c>
      <c r="F28" s="2">
        <v>1</v>
      </c>
      <c r="G28" s="3" t="s">
        <v>127</v>
      </c>
      <c r="H28" s="4">
        <f>VLOOKUP(G28,'👕 Products'!A:G,7,0)*F28</f>
        <v>699</v>
      </c>
      <c r="I28" s="4">
        <f t="shared" si="0"/>
        <v>0</v>
      </c>
      <c r="J28" s="5">
        <f t="shared" si="1"/>
        <v>699</v>
      </c>
      <c r="K28" s="8">
        <f>VLOOKUP(G28,'👕 Products'!A:D,4,0)</f>
        <v>200</v>
      </c>
      <c r="L28" s="4">
        <f>VLOOKUP(G28,'👕 Products'!A:E,5,0)</f>
        <v>200</v>
      </c>
      <c r="M28" s="4">
        <v>0</v>
      </c>
      <c r="N28" s="4">
        <f t="shared" si="2"/>
        <v>400</v>
      </c>
      <c r="O28" s="5">
        <f t="shared" si="3"/>
        <v>299</v>
      </c>
      <c r="P28" s="2"/>
    </row>
    <row r="29" spans="1:16" ht="22.05" customHeight="1" x14ac:dyDescent="0.45">
      <c r="A29" s="6" t="s">
        <v>128</v>
      </c>
      <c r="B29" s="7" t="s">
        <v>107</v>
      </c>
      <c r="C29" s="6" t="s">
        <v>129</v>
      </c>
      <c r="D29" s="6" t="s">
        <v>82</v>
      </c>
      <c r="E29" s="7" t="s">
        <v>130</v>
      </c>
      <c r="F29" s="6">
        <v>1</v>
      </c>
      <c r="G29" s="7" t="s">
        <v>131</v>
      </c>
      <c r="H29" s="4">
        <f>VLOOKUP(G29,'👕 Products'!A:G,7,0)*F29</f>
        <v>499</v>
      </c>
      <c r="I29" s="8">
        <f t="shared" si="0"/>
        <v>0</v>
      </c>
      <c r="J29" s="9">
        <f t="shared" si="1"/>
        <v>499</v>
      </c>
      <c r="K29" s="8">
        <f>VLOOKUP(G29,'👕 Products'!A:D,4,0)</f>
        <v>200</v>
      </c>
      <c r="L29" s="4">
        <f>VLOOKUP(G29,'👕 Products'!A:E,5,0)</f>
        <v>150</v>
      </c>
      <c r="M29" s="4">
        <v>0</v>
      </c>
      <c r="N29" s="8">
        <f t="shared" si="2"/>
        <v>350</v>
      </c>
      <c r="O29" s="9">
        <f t="shared" si="3"/>
        <v>149</v>
      </c>
      <c r="P29" s="6"/>
    </row>
    <row r="30" spans="1:16" ht="22.05" customHeight="1" x14ac:dyDescent="0.45">
      <c r="A30" s="2" t="s">
        <v>132</v>
      </c>
      <c r="B30" s="3" t="s">
        <v>107</v>
      </c>
      <c r="C30" s="2" t="s">
        <v>133</v>
      </c>
      <c r="D30" s="2" t="s">
        <v>134</v>
      </c>
      <c r="E30" s="3" t="s">
        <v>135</v>
      </c>
      <c r="F30" s="2">
        <v>3</v>
      </c>
      <c r="G30" s="3" t="s">
        <v>110</v>
      </c>
      <c r="H30" s="4">
        <f>VLOOKUP(G30,'👕 Products'!A:G,7,0)*F30</f>
        <v>2097</v>
      </c>
      <c r="I30" s="4">
        <f t="shared" si="0"/>
        <v>0</v>
      </c>
      <c r="J30" s="5">
        <f t="shared" si="1"/>
        <v>2097</v>
      </c>
      <c r="K30" s="8">
        <v>200</v>
      </c>
      <c r="L30" s="4">
        <v>200</v>
      </c>
      <c r="M30" s="4">
        <v>0</v>
      </c>
      <c r="N30" s="4">
        <f t="shared" si="2"/>
        <v>400</v>
      </c>
      <c r="O30" s="5">
        <f t="shared" si="3"/>
        <v>1697</v>
      </c>
      <c r="P30" s="2"/>
    </row>
    <row r="31" spans="1:16" ht="22.05" customHeight="1" x14ac:dyDescent="0.45">
      <c r="A31" s="6"/>
      <c r="B31" s="6"/>
      <c r="C31" s="6"/>
      <c r="D31" s="6"/>
      <c r="E31" s="6"/>
      <c r="F31" s="6"/>
      <c r="G31" s="6"/>
      <c r="H31" s="6"/>
      <c r="I31" s="10">
        <f t="shared" si="0"/>
        <v>0</v>
      </c>
      <c r="J31" s="11" t="str">
        <f t="shared" ref="J31:J60" si="4">IF(H31="","",H31-I31)</f>
        <v/>
      </c>
      <c r="K31" s="6"/>
      <c r="L31" s="6"/>
      <c r="M31" s="6"/>
      <c r="N31" s="10" t="str">
        <f t="shared" si="2"/>
        <v/>
      </c>
      <c r="O31" s="11" t="str">
        <f t="shared" si="3"/>
        <v/>
      </c>
      <c r="P31" s="6"/>
    </row>
    <row r="32" spans="1:16" ht="22.05" customHeight="1" x14ac:dyDescent="0.45">
      <c r="A32" s="2"/>
      <c r="B32" s="2"/>
      <c r="C32" s="2"/>
      <c r="D32" s="2"/>
      <c r="E32" s="2"/>
      <c r="F32" s="2"/>
      <c r="G32" s="2"/>
      <c r="H32" s="2"/>
      <c r="I32" s="12">
        <f t="shared" si="0"/>
        <v>0</v>
      </c>
      <c r="J32" s="13" t="str">
        <f t="shared" si="4"/>
        <v/>
      </c>
      <c r="K32" s="2"/>
      <c r="L32" s="2"/>
      <c r="M32" s="2"/>
      <c r="N32" s="12" t="str">
        <f t="shared" si="2"/>
        <v/>
      </c>
      <c r="O32" s="13" t="str">
        <f t="shared" si="3"/>
        <v/>
      </c>
      <c r="P32" s="2"/>
    </row>
    <row r="33" spans="1:16" ht="22.05" customHeight="1" x14ac:dyDescent="0.45">
      <c r="A33" s="6"/>
      <c r="B33" s="6"/>
      <c r="C33" s="6"/>
      <c r="D33" s="6"/>
      <c r="E33" s="6"/>
      <c r="F33" s="6"/>
      <c r="G33" s="6"/>
      <c r="H33" s="6"/>
      <c r="I33" s="10">
        <f t="shared" si="0"/>
        <v>0</v>
      </c>
      <c r="J33" s="11" t="str">
        <f t="shared" si="4"/>
        <v/>
      </c>
      <c r="K33" s="6"/>
      <c r="L33" s="6"/>
      <c r="M33" s="6"/>
      <c r="N33" s="10" t="str">
        <f t="shared" si="2"/>
        <v/>
      </c>
      <c r="O33" s="11" t="str">
        <f t="shared" si="3"/>
        <v/>
      </c>
      <c r="P33" s="6"/>
    </row>
    <row r="34" spans="1:16" ht="22.05" customHeight="1" x14ac:dyDescent="0.45">
      <c r="A34" s="2"/>
      <c r="B34" s="2"/>
      <c r="C34" s="2"/>
      <c r="D34" s="2"/>
      <c r="E34" s="2"/>
      <c r="F34" s="2"/>
      <c r="G34" s="2"/>
      <c r="H34" s="2"/>
      <c r="I34" s="12">
        <f t="shared" si="0"/>
        <v>0</v>
      </c>
      <c r="J34" s="13" t="str">
        <f t="shared" si="4"/>
        <v/>
      </c>
      <c r="K34" s="2"/>
      <c r="L34" s="2"/>
      <c r="M34" s="2"/>
      <c r="N34" s="12" t="str">
        <f t="shared" si="2"/>
        <v/>
      </c>
      <c r="O34" s="13" t="str">
        <f t="shared" si="3"/>
        <v/>
      </c>
      <c r="P34" s="2"/>
    </row>
    <row r="35" spans="1:16" ht="22.05" customHeight="1" x14ac:dyDescent="0.45">
      <c r="A35" s="6"/>
      <c r="B35" s="6"/>
      <c r="C35" s="6"/>
      <c r="D35" s="6"/>
      <c r="E35" s="6"/>
      <c r="F35" s="6"/>
      <c r="G35" s="6"/>
      <c r="H35" s="6"/>
      <c r="I35" s="10">
        <f t="shared" si="0"/>
        <v>0</v>
      </c>
      <c r="J35" s="11" t="str">
        <f t="shared" si="4"/>
        <v/>
      </c>
      <c r="K35" s="6"/>
      <c r="L35" s="6"/>
      <c r="M35" s="6"/>
      <c r="N35" s="10" t="str">
        <f t="shared" si="2"/>
        <v/>
      </c>
      <c r="O35" s="11" t="str">
        <f t="shared" si="3"/>
        <v/>
      </c>
      <c r="P35" s="6"/>
    </row>
    <row r="36" spans="1:16" ht="22.05" customHeight="1" x14ac:dyDescent="0.45">
      <c r="A36" s="2"/>
      <c r="B36" s="2"/>
      <c r="C36" s="2"/>
      <c r="D36" s="2"/>
      <c r="E36" s="2"/>
      <c r="F36" s="2"/>
      <c r="G36" s="2"/>
      <c r="H36" s="2"/>
      <c r="I36" s="12">
        <f t="shared" ref="I36:I67" si="5">IF(D36="Site",ROUND(H36*0.0256,2),0)</f>
        <v>0</v>
      </c>
      <c r="J36" s="13" t="str">
        <f t="shared" si="4"/>
        <v/>
      </c>
      <c r="K36" s="2"/>
      <c r="L36" s="2"/>
      <c r="M36" s="2"/>
      <c r="N36" s="12" t="str">
        <f t="shared" ref="N36:N67" si="6">IF(K36+L36+M36=0,"",K36+L36+M36)</f>
        <v/>
      </c>
      <c r="O36" s="13" t="str">
        <f t="shared" ref="O36:O67" si="7">IF(H36="","",J36-N36)</f>
        <v/>
      </c>
      <c r="P36" s="2"/>
    </row>
    <row r="37" spans="1:16" ht="22.05" customHeight="1" x14ac:dyDescent="0.45">
      <c r="A37" s="6"/>
      <c r="B37" s="6"/>
      <c r="C37" s="6"/>
      <c r="D37" s="6"/>
      <c r="E37" s="6"/>
      <c r="F37" s="6"/>
      <c r="G37" s="6"/>
      <c r="H37" s="6"/>
      <c r="I37" s="10">
        <f t="shared" si="5"/>
        <v>0</v>
      </c>
      <c r="J37" s="11" t="str">
        <f t="shared" si="4"/>
        <v/>
      </c>
      <c r="K37" s="6"/>
      <c r="L37" s="6"/>
      <c r="M37" s="6"/>
      <c r="N37" s="10" t="str">
        <f t="shared" si="6"/>
        <v/>
      </c>
      <c r="O37" s="11" t="str">
        <f t="shared" si="7"/>
        <v/>
      </c>
      <c r="P37" s="6"/>
    </row>
    <row r="38" spans="1:16" ht="22.05" customHeight="1" x14ac:dyDescent="0.45">
      <c r="A38" s="2"/>
      <c r="B38" s="2"/>
      <c r="C38" s="2"/>
      <c r="D38" s="2"/>
      <c r="E38" s="2"/>
      <c r="F38" s="2"/>
      <c r="G38" s="2"/>
      <c r="H38" s="2"/>
      <c r="I38" s="12">
        <f t="shared" si="5"/>
        <v>0</v>
      </c>
      <c r="J38" s="13" t="str">
        <f t="shared" si="4"/>
        <v/>
      </c>
      <c r="K38" s="2"/>
      <c r="L38" s="2"/>
      <c r="M38" s="2"/>
      <c r="N38" s="12" t="str">
        <f t="shared" si="6"/>
        <v/>
      </c>
      <c r="O38" s="13" t="str">
        <f t="shared" si="7"/>
        <v/>
      </c>
      <c r="P38" s="2"/>
    </row>
    <row r="39" spans="1:16" ht="22.05" customHeight="1" x14ac:dyDescent="0.45">
      <c r="A39" s="6"/>
      <c r="B39" s="6"/>
      <c r="C39" s="6"/>
      <c r="D39" s="6"/>
      <c r="E39" s="6"/>
      <c r="F39" s="6"/>
      <c r="G39" s="6"/>
      <c r="H39" s="6"/>
      <c r="I39" s="10">
        <f t="shared" si="5"/>
        <v>0</v>
      </c>
      <c r="J39" s="11" t="str">
        <f t="shared" si="4"/>
        <v/>
      </c>
      <c r="K39" s="6"/>
      <c r="L39" s="6"/>
      <c r="M39" s="6"/>
      <c r="N39" s="10" t="str">
        <f t="shared" si="6"/>
        <v/>
      </c>
      <c r="O39" s="11" t="str">
        <f t="shared" si="7"/>
        <v/>
      </c>
      <c r="P39" s="6"/>
    </row>
    <row r="40" spans="1:16" ht="22.05" customHeight="1" x14ac:dyDescent="0.45">
      <c r="A40" s="2"/>
      <c r="B40" s="2"/>
      <c r="C40" s="2"/>
      <c r="D40" s="2"/>
      <c r="E40" s="2"/>
      <c r="F40" s="2"/>
      <c r="G40" s="2"/>
      <c r="H40" s="2"/>
      <c r="I40" s="12">
        <f t="shared" si="5"/>
        <v>0</v>
      </c>
      <c r="J40" s="13" t="str">
        <f t="shared" si="4"/>
        <v/>
      </c>
      <c r="K40" s="2"/>
      <c r="L40" s="2"/>
      <c r="M40" s="2"/>
      <c r="N40" s="12" t="str">
        <f t="shared" si="6"/>
        <v/>
      </c>
      <c r="O40" s="13" t="str">
        <f t="shared" si="7"/>
        <v/>
      </c>
      <c r="P40" s="2"/>
    </row>
    <row r="41" spans="1:16" ht="22.05" customHeight="1" x14ac:dyDescent="0.45">
      <c r="A41" s="6"/>
      <c r="B41" s="6"/>
      <c r="C41" s="6"/>
      <c r="D41" s="6"/>
      <c r="E41" s="6"/>
      <c r="F41" s="6"/>
      <c r="G41" s="6"/>
      <c r="H41" s="6"/>
      <c r="I41" s="10">
        <f t="shared" si="5"/>
        <v>0</v>
      </c>
      <c r="J41" s="11" t="str">
        <f t="shared" si="4"/>
        <v/>
      </c>
      <c r="K41" s="6"/>
      <c r="L41" s="6"/>
      <c r="M41" s="6"/>
      <c r="N41" s="10" t="str">
        <f t="shared" si="6"/>
        <v/>
      </c>
      <c r="O41" s="11" t="str">
        <f t="shared" si="7"/>
        <v/>
      </c>
      <c r="P41" s="6"/>
    </row>
    <row r="42" spans="1:16" ht="22.05" customHeight="1" x14ac:dyDescent="0.45">
      <c r="A42" s="2"/>
      <c r="B42" s="2"/>
      <c r="C42" s="2"/>
      <c r="D42" s="2"/>
      <c r="E42" s="2"/>
      <c r="F42" s="2"/>
      <c r="G42" s="2"/>
      <c r="H42" s="2"/>
      <c r="I42" s="12">
        <f t="shared" si="5"/>
        <v>0</v>
      </c>
      <c r="J42" s="13" t="str">
        <f t="shared" si="4"/>
        <v/>
      </c>
      <c r="K42" s="2"/>
      <c r="L42" s="2"/>
      <c r="M42" s="2"/>
      <c r="N42" s="12" t="str">
        <f t="shared" si="6"/>
        <v/>
      </c>
      <c r="O42" s="13" t="str">
        <f t="shared" si="7"/>
        <v/>
      </c>
      <c r="P42" s="2"/>
    </row>
    <row r="43" spans="1:16" ht="22.05" customHeight="1" x14ac:dyDescent="0.45">
      <c r="A43" s="6"/>
      <c r="B43" s="6"/>
      <c r="C43" s="6"/>
      <c r="D43" s="6"/>
      <c r="E43" s="6"/>
      <c r="F43" s="6"/>
      <c r="G43" s="6"/>
      <c r="H43" s="6"/>
      <c r="I43" s="10">
        <f t="shared" si="5"/>
        <v>0</v>
      </c>
      <c r="J43" s="11" t="str">
        <f t="shared" si="4"/>
        <v/>
      </c>
      <c r="K43" s="6"/>
      <c r="L43" s="6"/>
      <c r="M43" s="6"/>
      <c r="N43" s="10" t="str">
        <f t="shared" si="6"/>
        <v/>
      </c>
      <c r="O43" s="11" t="str">
        <f t="shared" si="7"/>
        <v/>
      </c>
      <c r="P43" s="6"/>
    </row>
    <row r="44" spans="1:16" ht="22.05" customHeight="1" x14ac:dyDescent="0.45">
      <c r="A44" s="2"/>
      <c r="B44" s="2"/>
      <c r="C44" s="2"/>
      <c r="D44" s="2"/>
      <c r="E44" s="2"/>
      <c r="F44" s="2"/>
      <c r="G44" s="2"/>
      <c r="H44" s="2"/>
      <c r="I44" s="12">
        <f t="shared" si="5"/>
        <v>0</v>
      </c>
      <c r="J44" s="13" t="str">
        <f t="shared" si="4"/>
        <v/>
      </c>
      <c r="K44" s="2"/>
      <c r="L44" s="2"/>
      <c r="M44" s="2"/>
      <c r="N44" s="12" t="str">
        <f t="shared" si="6"/>
        <v/>
      </c>
      <c r="O44" s="13" t="str">
        <f t="shared" si="7"/>
        <v/>
      </c>
      <c r="P44" s="2"/>
    </row>
    <row r="45" spans="1:16" ht="22.05" customHeight="1" x14ac:dyDescent="0.45">
      <c r="A45" s="6"/>
      <c r="B45" s="6"/>
      <c r="C45" s="6"/>
      <c r="D45" s="6"/>
      <c r="E45" s="6"/>
      <c r="F45" s="6"/>
      <c r="G45" s="6"/>
      <c r="H45" s="6"/>
      <c r="I45" s="10">
        <f t="shared" si="5"/>
        <v>0</v>
      </c>
      <c r="J45" s="11" t="str">
        <f t="shared" si="4"/>
        <v/>
      </c>
      <c r="K45" s="6"/>
      <c r="L45" s="6"/>
      <c r="M45" s="6"/>
      <c r="N45" s="10" t="str">
        <f t="shared" si="6"/>
        <v/>
      </c>
      <c r="O45" s="11" t="str">
        <f t="shared" si="7"/>
        <v/>
      </c>
      <c r="P45" s="6"/>
    </row>
    <row r="46" spans="1:16" ht="22.05" customHeight="1" x14ac:dyDescent="0.45">
      <c r="A46" s="2"/>
      <c r="B46" s="2"/>
      <c r="C46" s="2"/>
      <c r="D46" s="2"/>
      <c r="E46" s="2"/>
      <c r="F46" s="2"/>
      <c r="G46" s="2"/>
      <c r="H46" s="2"/>
      <c r="I46" s="12">
        <f t="shared" si="5"/>
        <v>0</v>
      </c>
      <c r="J46" s="13" t="str">
        <f t="shared" si="4"/>
        <v/>
      </c>
      <c r="K46" s="2"/>
      <c r="L46" s="2"/>
      <c r="M46" s="2"/>
      <c r="N46" s="12" t="str">
        <f t="shared" si="6"/>
        <v/>
      </c>
      <c r="O46" s="13" t="str">
        <f t="shared" si="7"/>
        <v/>
      </c>
      <c r="P46" s="2"/>
    </row>
    <row r="47" spans="1:16" ht="22.05" customHeight="1" x14ac:dyDescent="0.45">
      <c r="A47" s="6"/>
      <c r="B47" s="6"/>
      <c r="C47" s="6"/>
      <c r="D47" s="6"/>
      <c r="E47" s="6"/>
      <c r="F47" s="6"/>
      <c r="G47" s="6"/>
      <c r="H47" s="6"/>
      <c r="I47" s="10">
        <f t="shared" si="5"/>
        <v>0</v>
      </c>
      <c r="J47" s="11" t="str">
        <f t="shared" si="4"/>
        <v/>
      </c>
      <c r="K47" s="6"/>
      <c r="L47" s="6"/>
      <c r="M47" s="6"/>
      <c r="N47" s="10" t="str">
        <f t="shared" si="6"/>
        <v/>
      </c>
      <c r="O47" s="11" t="str">
        <f t="shared" si="7"/>
        <v/>
      </c>
      <c r="P47" s="6"/>
    </row>
    <row r="48" spans="1:16" ht="22.05" customHeight="1" x14ac:dyDescent="0.45">
      <c r="A48" s="2"/>
      <c r="B48" s="2"/>
      <c r="C48" s="2"/>
      <c r="D48" s="2"/>
      <c r="E48" s="2"/>
      <c r="F48" s="2"/>
      <c r="G48" s="2"/>
      <c r="H48" s="2"/>
      <c r="I48" s="12">
        <f t="shared" si="5"/>
        <v>0</v>
      </c>
      <c r="J48" s="13" t="str">
        <f t="shared" si="4"/>
        <v/>
      </c>
      <c r="K48" s="2"/>
      <c r="L48" s="2"/>
      <c r="M48" s="2"/>
      <c r="N48" s="12" t="str">
        <f t="shared" si="6"/>
        <v/>
      </c>
      <c r="O48" s="13" t="str">
        <f t="shared" si="7"/>
        <v/>
      </c>
      <c r="P48" s="2"/>
    </row>
    <row r="49" spans="1:16" ht="22.05" customHeight="1" x14ac:dyDescent="0.45">
      <c r="A49" s="6"/>
      <c r="B49" s="6"/>
      <c r="C49" s="6"/>
      <c r="D49" s="6"/>
      <c r="E49" s="6"/>
      <c r="F49" s="6"/>
      <c r="G49" s="6"/>
      <c r="H49" s="6"/>
      <c r="I49" s="10">
        <f t="shared" si="5"/>
        <v>0</v>
      </c>
      <c r="J49" s="11" t="str">
        <f t="shared" si="4"/>
        <v/>
      </c>
      <c r="K49" s="6"/>
      <c r="L49" s="6"/>
      <c r="M49" s="6"/>
      <c r="N49" s="10" t="str">
        <f t="shared" si="6"/>
        <v/>
      </c>
      <c r="O49" s="11" t="str">
        <f t="shared" si="7"/>
        <v/>
      </c>
      <c r="P49" s="6"/>
    </row>
    <row r="50" spans="1:16" ht="22.05" customHeight="1" x14ac:dyDescent="0.45">
      <c r="A50" s="2"/>
      <c r="B50" s="2"/>
      <c r="C50" s="2"/>
      <c r="D50" s="2"/>
      <c r="E50" s="2"/>
      <c r="F50" s="2"/>
      <c r="G50" s="2"/>
      <c r="H50" s="2"/>
      <c r="I50" s="12">
        <f t="shared" si="5"/>
        <v>0</v>
      </c>
      <c r="J50" s="13" t="str">
        <f t="shared" si="4"/>
        <v/>
      </c>
      <c r="K50" s="2"/>
      <c r="L50" s="2"/>
      <c r="M50" s="2"/>
      <c r="N50" s="12" t="str">
        <f t="shared" si="6"/>
        <v/>
      </c>
      <c r="O50" s="13" t="str">
        <f t="shared" si="7"/>
        <v/>
      </c>
      <c r="P50" s="2"/>
    </row>
    <row r="51" spans="1:16" ht="22.05" customHeight="1" x14ac:dyDescent="0.45">
      <c r="A51" s="6"/>
      <c r="B51" s="6"/>
      <c r="C51" s="6"/>
      <c r="D51" s="6"/>
      <c r="E51" s="6"/>
      <c r="F51" s="6"/>
      <c r="G51" s="6"/>
      <c r="H51" s="6"/>
      <c r="I51" s="10">
        <f t="shared" si="5"/>
        <v>0</v>
      </c>
      <c r="J51" s="11" t="str">
        <f t="shared" si="4"/>
        <v/>
      </c>
      <c r="K51" s="6"/>
      <c r="L51" s="6"/>
      <c r="M51" s="6"/>
      <c r="N51" s="10" t="str">
        <f t="shared" si="6"/>
        <v/>
      </c>
      <c r="O51" s="11" t="str">
        <f t="shared" si="7"/>
        <v/>
      </c>
      <c r="P51" s="6"/>
    </row>
    <row r="52" spans="1:16" ht="22.05" customHeight="1" x14ac:dyDescent="0.45">
      <c r="A52" s="2"/>
      <c r="B52" s="2"/>
      <c r="C52" s="2"/>
      <c r="D52" s="2"/>
      <c r="E52" s="2"/>
      <c r="F52" s="2"/>
      <c r="G52" s="2"/>
      <c r="H52" s="2"/>
      <c r="I52" s="12">
        <f t="shared" si="5"/>
        <v>0</v>
      </c>
      <c r="J52" s="13" t="str">
        <f t="shared" si="4"/>
        <v/>
      </c>
      <c r="K52" s="2"/>
      <c r="L52" s="2"/>
      <c r="M52" s="2"/>
      <c r="N52" s="12" t="str">
        <f t="shared" si="6"/>
        <v/>
      </c>
      <c r="O52" s="13" t="str">
        <f t="shared" si="7"/>
        <v/>
      </c>
      <c r="P52" s="2"/>
    </row>
    <row r="53" spans="1:16" ht="22.05" customHeight="1" x14ac:dyDescent="0.45">
      <c r="A53" s="6"/>
      <c r="B53" s="6"/>
      <c r="C53" s="6"/>
      <c r="D53" s="6"/>
      <c r="E53" s="6"/>
      <c r="F53" s="6"/>
      <c r="G53" s="6"/>
      <c r="H53" s="6"/>
      <c r="I53" s="10">
        <f t="shared" si="5"/>
        <v>0</v>
      </c>
      <c r="J53" s="11" t="str">
        <f t="shared" si="4"/>
        <v/>
      </c>
      <c r="K53" s="6"/>
      <c r="L53" s="6"/>
      <c r="M53" s="6"/>
      <c r="N53" s="10" t="str">
        <f t="shared" si="6"/>
        <v/>
      </c>
      <c r="O53" s="11" t="str">
        <f t="shared" si="7"/>
        <v/>
      </c>
      <c r="P53" s="6"/>
    </row>
    <row r="54" spans="1:16" ht="22.05" customHeight="1" x14ac:dyDescent="0.45">
      <c r="A54" s="2"/>
      <c r="B54" s="2"/>
      <c r="C54" s="2"/>
      <c r="D54" s="2"/>
      <c r="E54" s="2"/>
      <c r="F54" s="2"/>
      <c r="G54" s="2"/>
      <c r="H54" s="2"/>
      <c r="I54" s="12">
        <f t="shared" si="5"/>
        <v>0</v>
      </c>
      <c r="J54" s="13" t="str">
        <f t="shared" si="4"/>
        <v/>
      </c>
      <c r="K54" s="2"/>
      <c r="L54" s="2"/>
      <c r="M54" s="2"/>
      <c r="N54" s="12" t="str">
        <f t="shared" si="6"/>
        <v/>
      </c>
      <c r="O54" s="13" t="str">
        <f t="shared" si="7"/>
        <v/>
      </c>
      <c r="P54" s="2"/>
    </row>
    <row r="55" spans="1:16" ht="22.05" customHeight="1" x14ac:dyDescent="0.45">
      <c r="A55" s="6"/>
      <c r="B55" s="6"/>
      <c r="C55" s="6"/>
      <c r="D55" s="6"/>
      <c r="E55" s="6"/>
      <c r="F55" s="6"/>
      <c r="G55" s="6"/>
      <c r="H55" s="6"/>
      <c r="I55" s="10">
        <f t="shared" si="5"/>
        <v>0</v>
      </c>
      <c r="J55" s="11" t="str">
        <f t="shared" si="4"/>
        <v/>
      </c>
      <c r="K55" s="6"/>
      <c r="L55" s="6"/>
      <c r="M55" s="6"/>
      <c r="N55" s="10" t="str">
        <f t="shared" si="6"/>
        <v/>
      </c>
      <c r="O55" s="11" t="str">
        <f t="shared" si="7"/>
        <v/>
      </c>
      <c r="P55" s="6"/>
    </row>
    <row r="56" spans="1:16" ht="22.05" customHeight="1" x14ac:dyDescent="0.45">
      <c r="A56" s="2"/>
      <c r="B56" s="2"/>
      <c r="C56" s="2"/>
      <c r="D56" s="2"/>
      <c r="E56" s="2"/>
      <c r="F56" s="2"/>
      <c r="G56" s="2"/>
      <c r="H56" s="2"/>
      <c r="I56" s="12">
        <f t="shared" si="5"/>
        <v>0</v>
      </c>
      <c r="J56" s="13" t="str">
        <f t="shared" si="4"/>
        <v/>
      </c>
      <c r="K56" s="2"/>
      <c r="L56" s="2"/>
      <c r="M56" s="2"/>
      <c r="N56" s="12" t="str">
        <f t="shared" si="6"/>
        <v/>
      </c>
      <c r="O56" s="13" t="str">
        <f t="shared" si="7"/>
        <v/>
      </c>
      <c r="P56" s="2"/>
    </row>
    <row r="57" spans="1:16" ht="22.05" customHeight="1" x14ac:dyDescent="0.45">
      <c r="A57" s="6"/>
      <c r="B57" s="6"/>
      <c r="C57" s="6"/>
      <c r="D57" s="6"/>
      <c r="E57" s="6"/>
      <c r="F57" s="6"/>
      <c r="G57" s="6"/>
      <c r="H57" s="6"/>
      <c r="I57" s="10">
        <f t="shared" si="5"/>
        <v>0</v>
      </c>
      <c r="J57" s="11" t="str">
        <f t="shared" si="4"/>
        <v/>
      </c>
      <c r="K57" s="6"/>
      <c r="L57" s="6"/>
      <c r="M57" s="6"/>
      <c r="N57" s="10" t="str">
        <f t="shared" si="6"/>
        <v/>
      </c>
      <c r="O57" s="11" t="str">
        <f t="shared" si="7"/>
        <v/>
      </c>
      <c r="P57" s="6"/>
    </row>
    <row r="58" spans="1:16" ht="22.05" customHeight="1" x14ac:dyDescent="0.45">
      <c r="A58" s="2"/>
      <c r="B58" s="2"/>
      <c r="C58" s="2"/>
      <c r="D58" s="2"/>
      <c r="E58" s="2"/>
      <c r="F58" s="2"/>
      <c r="G58" s="2"/>
      <c r="H58" s="2"/>
      <c r="I58" s="12">
        <f t="shared" si="5"/>
        <v>0</v>
      </c>
      <c r="J58" s="13" t="str">
        <f t="shared" si="4"/>
        <v/>
      </c>
      <c r="K58" s="2"/>
      <c r="L58" s="2"/>
      <c r="M58" s="2"/>
      <c r="N58" s="12" t="str">
        <f t="shared" si="6"/>
        <v/>
      </c>
      <c r="O58" s="13" t="str">
        <f t="shared" si="7"/>
        <v/>
      </c>
      <c r="P58" s="2"/>
    </row>
    <row r="59" spans="1:16" ht="22.05" customHeight="1" x14ac:dyDescent="0.45">
      <c r="A59" s="6"/>
      <c r="B59" s="6"/>
      <c r="C59" s="6"/>
      <c r="D59" s="6"/>
      <c r="E59" s="6"/>
      <c r="F59" s="6"/>
      <c r="G59" s="6"/>
      <c r="H59" s="6"/>
      <c r="I59" s="10">
        <f t="shared" si="5"/>
        <v>0</v>
      </c>
      <c r="J59" s="11" t="str">
        <f t="shared" si="4"/>
        <v/>
      </c>
      <c r="K59" s="6"/>
      <c r="L59" s="6"/>
      <c r="M59" s="6"/>
      <c r="N59" s="10" t="str">
        <f t="shared" si="6"/>
        <v/>
      </c>
      <c r="O59" s="11" t="str">
        <f t="shared" si="7"/>
        <v/>
      </c>
      <c r="P59" s="6"/>
    </row>
    <row r="60" spans="1:16" ht="22.05" customHeight="1" x14ac:dyDescent="0.45">
      <c r="A60" s="2"/>
      <c r="B60" s="2"/>
      <c r="C60" s="2"/>
      <c r="D60" s="2"/>
      <c r="E60" s="2"/>
      <c r="F60" s="2"/>
      <c r="G60" s="2"/>
      <c r="H60" s="2"/>
      <c r="I60" s="12">
        <f t="shared" si="5"/>
        <v>0</v>
      </c>
      <c r="J60" s="13" t="str">
        <f t="shared" si="4"/>
        <v/>
      </c>
      <c r="K60" s="2"/>
      <c r="L60" s="2"/>
      <c r="M60" s="2"/>
      <c r="N60" s="12" t="str">
        <f t="shared" si="6"/>
        <v/>
      </c>
      <c r="O60" s="13" t="str">
        <f t="shared" si="7"/>
        <v/>
      </c>
      <c r="P60" s="2"/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pane ySplit="3" topLeftCell="A4" activePane="bottomLeft" state="frozen"/>
      <selection pane="bottomLeft" activeCell="B12" sqref="B12"/>
    </sheetView>
  </sheetViews>
  <sheetFormatPr defaultRowHeight="14.25" x14ac:dyDescent="0.45"/>
  <cols>
    <col min="1" max="1" width="13" customWidth="1"/>
    <col min="2" max="2" width="14" customWidth="1"/>
    <col min="3" max="3" width="20" customWidth="1"/>
    <col min="4" max="4" width="36" customWidth="1"/>
    <col min="5" max="5" width="16" customWidth="1"/>
    <col min="6" max="6" width="22" customWidth="1"/>
    <col min="7" max="7" width="14" customWidth="1"/>
    <col min="8" max="8" width="28" customWidth="1"/>
  </cols>
  <sheetData>
    <row r="1" spans="1:8" ht="38" customHeight="1" x14ac:dyDescent="0.45">
      <c r="A1" s="39" t="s">
        <v>136</v>
      </c>
      <c r="B1" s="36"/>
      <c r="C1" s="36"/>
      <c r="D1" s="36"/>
      <c r="E1" s="36"/>
      <c r="F1" s="36"/>
      <c r="G1" s="36"/>
      <c r="H1" s="36"/>
    </row>
    <row r="2" spans="1:8" ht="18" customHeight="1" x14ac:dyDescent="0.45">
      <c r="A2" s="41" t="s">
        <v>137</v>
      </c>
      <c r="B2" s="36"/>
      <c r="C2" s="36"/>
      <c r="D2" s="36"/>
      <c r="E2" s="36"/>
      <c r="F2" s="36"/>
      <c r="G2" s="36"/>
      <c r="H2" s="36"/>
    </row>
    <row r="3" spans="1:8" ht="30" customHeight="1" x14ac:dyDescent="0.45">
      <c r="A3" s="1" t="s">
        <v>29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142</v>
      </c>
      <c r="G3" s="1" t="s">
        <v>143</v>
      </c>
      <c r="H3" s="1" t="s">
        <v>144</v>
      </c>
    </row>
    <row r="4" spans="1:8" ht="22.05" customHeight="1" x14ac:dyDescent="0.45">
      <c r="A4" s="2" t="s">
        <v>45</v>
      </c>
      <c r="B4" s="2" t="s">
        <v>145</v>
      </c>
      <c r="C4" s="3" t="s">
        <v>44</v>
      </c>
      <c r="D4" s="3" t="s">
        <v>146</v>
      </c>
      <c r="E4" s="4">
        <v>4021.5</v>
      </c>
      <c r="F4" s="3" t="s">
        <v>147</v>
      </c>
      <c r="G4" s="2" t="s">
        <v>148</v>
      </c>
      <c r="H4" s="3" t="s">
        <v>149</v>
      </c>
    </row>
    <row r="5" spans="1:8" ht="22.05" customHeight="1" x14ac:dyDescent="0.45">
      <c r="A5" s="6" t="s">
        <v>45</v>
      </c>
      <c r="B5" s="6" t="s">
        <v>150</v>
      </c>
      <c r="C5" s="7" t="s">
        <v>44</v>
      </c>
      <c r="D5" s="7" t="s">
        <v>151</v>
      </c>
      <c r="E5" s="8">
        <v>3150</v>
      </c>
      <c r="F5" s="7" t="s">
        <v>147</v>
      </c>
      <c r="G5" s="6" t="s">
        <v>148</v>
      </c>
      <c r="H5" s="7" t="s">
        <v>152</v>
      </c>
    </row>
    <row r="6" spans="1:8" ht="22.05" customHeight="1" x14ac:dyDescent="0.45">
      <c r="A6" s="2" t="s">
        <v>45</v>
      </c>
      <c r="B6" s="2" t="s">
        <v>153</v>
      </c>
      <c r="C6" s="3" t="s">
        <v>154</v>
      </c>
      <c r="D6" s="3" t="s">
        <v>155</v>
      </c>
      <c r="E6" s="4">
        <v>1750</v>
      </c>
      <c r="F6" s="3" t="s">
        <v>156</v>
      </c>
      <c r="G6" s="2" t="s">
        <v>148</v>
      </c>
      <c r="H6" s="3" t="s">
        <v>157</v>
      </c>
    </row>
    <row r="7" spans="1:8" ht="22.05" customHeight="1" x14ac:dyDescent="0.45">
      <c r="A7" s="6" t="s">
        <v>81</v>
      </c>
      <c r="B7" s="6" t="s">
        <v>158</v>
      </c>
      <c r="C7" s="7" t="s">
        <v>159</v>
      </c>
      <c r="D7" s="7" t="s">
        <v>160</v>
      </c>
      <c r="E7" s="8">
        <v>950</v>
      </c>
      <c r="F7" s="7" t="s">
        <v>156</v>
      </c>
      <c r="G7" s="6" t="s">
        <v>148</v>
      </c>
      <c r="H7" s="7" t="s">
        <v>161</v>
      </c>
    </row>
    <row r="8" spans="1:8" ht="22.05" customHeight="1" x14ac:dyDescent="0.45">
      <c r="A8" s="2" t="s">
        <v>162</v>
      </c>
      <c r="B8" s="2" t="s">
        <v>163</v>
      </c>
      <c r="C8" s="3" t="s">
        <v>164</v>
      </c>
      <c r="D8" s="3" t="s">
        <v>165</v>
      </c>
      <c r="E8" s="4">
        <v>683.22</v>
      </c>
      <c r="F8" s="3" t="s">
        <v>166</v>
      </c>
      <c r="G8" s="2" t="s">
        <v>167</v>
      </c>
      <c r="H8" s="3" t="s">
        <v>168</v>
      </c>
    </row>
    <row r="9" spans="1:8" ht="22.05" customHeight="1" x14ac:dyDescent="0.45">
      <c r="A9" s="6" t="s">
        <v>108</v>
      </c>
      <c r="B9" s="6" t="s">
        <v>145</v>
      </c>
      <c r="C9" s="7" t="s">
        <v>107</v>
      </c>
      <c r="D9" s="7" t="s">
        <v>169</v>
      </c>
      <c r="E9" s="8">
        <v>1314.6</v>
      </c>
      <c r="F9" s="7" t="s">
        <v>170</v>
      </c>
      <c r="G9" s="6" t="s">
        <v>167</v>
      </c>
      <c r="H9" s="7" t="s">
        <v>171</v>
      </c>
    </row>
    <row r="10" spans="1:8" ht="22.05" customHeight="1" x14ac:dyDescent="0.45">
      <c r="A10" s="2" t="s">
        <v>108</v>
      </c>
      <c r="B10" s="2" t="s">
        <v>150</v>
      </c>
      <c r="C10" s="3" t="s">
        <v>107</v>
      </c>
      <c r="D10" s="3" t="s">
        <v>172</v>
      </c>
      <c r="E10" s="4">
        <v>1100</v>
      </c>
      <c r="F10" s="3" t="s">
        <v>173</v>
      </c>
      <c r="G10" s="2" t="s">
        <v>148</v>
      </c>
      <c r="H10" s="3" t="s">
        <v>174</v>
      </c>
    </row>
    <row r="11" spans="1:8" ht="22.05" customHeight="1" x14ac:dyDescent="0.45">
      <c r="A11" s="6"/>
      <c r="B11" s="6"/>
      <c r="C11" s="7"/>
      <c r="D11" s="7"/>
      <c r="E11" s="8"/>
      <c r="F11" s="7"/>
      <c r="G11" s="6"/>
      <c r="H11" s="7"/>
    </row>
    <row r="12" spans="1:8" ht="22.05" customHeight="1" x14ac:dyDescent="0.45">
      <c r="A12" s="2"/>
      <c r="B12" s="2"/>
      <c r="C12" s="3"/>
      <c r="D12" s="3"/>
      <c r="E12" s="4"/>
      <c r="F12" s="3"/>
      <c r="G12" s="2"/>
      <c r="H12" s="3"/>
    </row>
    <row r="13" spans="1:8" ht="22.05" customHeight="1" x14ac:dyDescent="0.45">
      <c r="A13" s="6"/>
      <c r="B13" s="6"/>
      <c r="C13" s="7"/>
      <c r="D13" s="7"/>
      <c r="E13" s="8"/>
      <c r="F13" s="7"/>
      <c r="G13" s="6"/>
      <c r="H13" s="7"/>
    </row>
    <row r="14" spans="1:8" ht="22.05" customHeight="1" x14ac:dyDescent="0.45">
      <c r="A14" s="2"/>
      <c r="B14" s="2"/>
      <c r="C14" s="3"/>
      <c r="D14" s="3"/>
      <c r="E14" s="4"/>
      <c r="F14" s="3"/>
      <c r="G14" s="2"/>
      <c r="H14" s="3"/>
    </row>
    <row r="15" spans="1:8" ht="22.05" customHeight="1" x14ac:dyDescent="0.45">
      <c r="A15" s="6"/>
      <c r="B15" s="6"/>
      <c r="C15" s="7"/>
      <c r="D15" s="7"/>
      <c r="E15" s="8"/>
      <c r="F15" s="7"/>
      <c r="G15" s="6"/>
      <c r="H15" s="7"/>
    </row>
    <row r="16" spans="1:8" ht="22.05" customHeight="1" x14ac:dyDescent="0.45">
      <c r="A16" s="2"/>
      <c r="B16" s="2"/>
      <c r="C16" s="3"/>
      <c r="D16" s="3"/>
      <c r="E16" s="4"/>
      <c r="F16" s="3"/>
      <c r="G16" s="2"/>
      <c r="H16" s="3"/>
    </row>
    <row r="17" spans="1:8" ht="22.05" customHeight="1" x14ac:dyDescent="0.45">
      <c r="A17" s="6"/>
      <c r="B17" s="6"/>
      <c r="C17" s="7"/>
      <c r="D17" s="7"/>
      <c r="E17" s="8"/>
      <c r="F17" s="7"/>
      <c r="G17" s="6"/>
      <c r="H17" s="7"/>
    </row>
    <row r="18" spans="1:8" ht="22.05" customHeight="1" x14ac:dyDescent="0.45">
      <c r="A18" s="2"/>
      <c r="B18" s="2"/>
      <c r="C18" s="3"/>
      <c r="D18" s="3"/>
      <c r="E18" s="4"/>
      <c r="F18" s="3"/>
      <c r="G18" s="2"/>
      <c r="H18" s="3"/>
    </row>
    <row r="19" spans="1:8" ht="22.05" customHeight="1" x14ac:dyDescent="0.45">
      <c r="A19" s="6"/>
      <c r="B19" s="6"/>
      <c r="C19" s="7"/>
      <c r="D19" s="7"/>
      <c r="E19" s="8"/>
      <c r="F19" s="7"/>
      <c r="G19" s="6"/>
      <c r="H19" s="7"/>
    </row>
    <row r="20" spans="1:8" ht="22.05" customHeight="1" x14ac:dyDescent="0.45">
      <c r="A20" s="2"/>
      <c r="B20" s="2"/>
      <c r="C20" s="3"/>
      <c r="D20" s="3"/>
      <c r="E20" s="4"/>
      <c r="F20" s="3"/>
      <c r="G20" s="2"/>
      <c r="H20" s="3"/>
    </row>
    <row r="21" spans="1:8" ht="22.05" customHeight="1" x14ac:dyDescent="0.45">
      <c r="A21" s="6"/>
      <c r="B21" s="6"/>
      <c r="C21" s="7"/>
      <c r="D21" s="7"/>
      <c r="E21" s="8"/>
      <c r="F21" s="7"/>
      <c r="G21" s="6"/>
      <c r="H21" s="7"/>
    </row>
    <row r="22" spans="1:8" ht="22.05" customHeight="1" x14ac:dyDescent="0.45">
      <c r="A22" s="2"/>
      <c r="B22" s="2"/>
      <c r="C22" s="3"/>
      <c r="D22" s="3"/>
      <c r="E22" s="4"/>
      <c r="F22" s="3"/>
      <c r="G22" s="2"/>
      <c r="H22" s="3"/>
    </row>
    <row r="23" spans="1:8" ht="22.05" customHeight="1" x14ac:dyDescent="0.45">
      <c r="A23" s="6"/>
      <c r="B23" s="6"/>
      <c r="C23" s="7"/>
      <c r="D23" s="7"/>
      <c r="E23" s="8"/>
      <c r="F23" s="7"/>
      <c r="G23" s="6"/>
      <c r="H23" s="7"/>
    </row>
    <row r="24" spans="1:8" ht="28.05" customHeight="1" x14ac:dyDescent="0.45">
      <c r="A24" s="44" t="s">
        <v>175</v>
      </c>
      <c r="B24" s="32"/>
      <c r="C24" s="32"/>
      <c r="D24" s="33"/>
      <c r="E24" s="14">
        <f>SUM(E4:E23)</f>
        <v>12969.32</v>
      </c>
    </row>
  </sheetData>
  <mergeCells count="3">
    <mergeCell ref="A2:H2"/>
    <mergeCell ref="A24:D2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pane ySplit="3" topLeftCell="A4" activePane="bottomLeft" state="frozen"/>
      <selection pane="bottomLeft" sqref="A1:I1"/>
    </sheetView>
  </sheetViews>
  <sheetFormatPr defaultRowHeight="14.25" x14ac:dyDescent="0.45"/>
  <cols>
    <col min="1" max="1" width="24" customWidth="1"/>
    <col min="2" max="2" width="20" customWidth="1"/>
    <col min="3" max="3" width="10" customWidth="1"/>
    <col min="4" max="4" width="16" customWidth="1"/>
    <col min="5" max="6" width="20" customWidth="1"/>
    <col min="7" max="7" width="12" customWidth="1"/>
    <col min="8" max="8" width="14" customWidth="1"/>
    <col min="9" max="9" width="38" customWidth="1"/>
  </cols>
  <sheetData>
    <row r="1" spans="1:9" ht="38" customHeight="1" x14ac:dyDescent="0.45">
      <c r="A1" s="39" t="s">
        <v>176</v>
      </c>
      <c r="B1" s="36"/>
      <c r="C1" s="36"/>
      <c r="D1" s="36"/>
      <c r="E1" s="36"/>
      <c r="F1" s="36"/>
      <c r="G1" s="36"/>
      <c r="H1" s="36"/>
      <c r="I1" s="36"/>
    </row>
    <row r="2" spans="1:9" ht="18" customHeight="1" x14ac:dyDescent="0.45">
      <c r="A2" s="41" t="s">
        <v>177</v>
      </c>
      <c r="B2" s="36"/>
      <c r="C2" s="36"/>
      <c r="D2" s="36"/>
      <c r="E2" s="36"/>
      <c r="F2" s="36"/>
      <c r="G2" s="36"/>
      <c r="H2" s="36"/>
      <c r="I2" s="36"/>
    </row>
    <row r="3" spans="1:9" ht="30" customHeight="1" x14ac:dyDescent="0.45">
      <c r="A3" s="1" t="s">
        <v>178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  <c r="H3" s="1" t="s">
        <v>185</v>
      </c>
      <c r="I3" s="1" t="s">
        <v>144</v>
      </c>
    </row>
    <row r="4" spans="1:9" ht="24" customHeight="1" x14ac:dyDescent="0.45">
      <c r="A4" s="3" t="s">
        <v>147</v>
      </c>
      <c r="B4" s="2" t="s">
        <v>186</v>
      </c>
      <c r="C4" s="2" t="s">
        <v>187</v>
      </c>
      <c r="D4" s="2"/>
      <c r="E4" s="4">
        <v>211.66</v>
      </c>
      <c r="F4" s="4">
        <v>165.79</v>
      </c>
      <c r="G4" s="2" t="s">
        <v>188</v>
      </c>
      <c r="H4" s="2" t="s">
        <v>148</v>
      </c>
      <c r="I4" s="3" t="s">
        <v>189</v>
      </c>
    </row>
    <row r="5" spans="1:9" ht="24" customHeight="1" x14ac:dyDescent="0.45">
      <c r="A5" s="7" t="s">
        <v>170</v>
      </c>
      <c r="B5" s="6" t="s">
        <v>190</v>
      </c>
      <c r="C5" s="6" t="s">
        <v>191</v>
      </c>
      <c r="D5" s="6"/>
      <c r="E5" s="8">
        <v>187.8</v>
      </c>
      <c r="F5" s="8"/>
      <c r="G5" s="6" t="s">
        <v>188</v>
      </c>
      <c r="H5" s="6" t="s">
        <v>167</v>
      </c>
      <c r="I5" s="7" t="s">
        <v>192</v>
      </c>
    </row>
    <row r="6" spans="1:9" ht="24" customHeight="1" x14ac:dyDescent="0.45">
      <c r="A6" s="3" t="s">
        <v>173</v>
      </c>
      <c r="B6" s="2" t="s">
        <v>193</v>
      </c>
      <c r="C6" s="2" t="s">
        <v>187</v>
      </c>
      <c r="D6" s="2"/>
      <c r="E6" s="4"/>
      <c r="F6" s="4">
        <v>157.13999999999999</v>
      </c>
      <c r="G6" s="2" t="s">
        <v>188</v>
      </c>
      <c r="H6" s="2" t="s">
        <v>148</v>
      </c>
      <c r="I6" s="3" t="s">
        <v>194</v>
      </c>
    </row>
    <row r="7" spans="1:9" ht="24" customHeight="1" x14ac:dyDescent="0.45">
      <c r="A7" s="7" t="s">
        <v>195</v>
      </c>
      <c r="B7" s="6" t="s">
        <v>196</v>
      </c>
      <c r="C7" s="6" t="s">
        <v>191</v>
      </c>
      <c r="D7" s="6"/>
      <c r="E7" s="8"/>
      <c r="F7" s="8"/>
      <c r="G7" s="6" t="s">
        <v>197</v>
      </c>
      <c r="H7" s="6" t="s">
        <v>198</v>
      </c>
      <c r="I7" s="7" t="s">
        <v>199</v>
      </c>
    </row>
    <row r="8" spans="1:9" ht="24" customHeight="1" x14ac:dyDescent="0.45">
      <c r="A8" s="3" t="s">
        <v>166</v>
      </c>
      <c r="B8" s="2" t="s">
        <v>200</v>
      </c>
      <c r="C8" s="2" t="s">
        <v>191</v>
      </c>
      <c r="D8" s="2"/>
      <c r="E8" s="4"/>
      <c r="F8" s="4"/>
      <c r="G8" s="2" t="s">
        <v>197</v>
      </c>
      <c r="H8" s="2" t="s">
        <v>164</v>
      </c>
      <c r="I8" s="3" t="s">
        <v>201</v>
      </c>
    </row>
    <row r="9" spans="1:9" ht="24" customHeight="1" x14ac:dyDescent="0.45">
      <c r="A9" s="7"/>
      <c r="B9" s="6"/>
      <c r="C9" s="6"/>
      <c r="D9" s="6"/>
      <c r="E9" s="8"/>
      <c r="F9" s="8"/>
      <c r="G9" s="6"/>
      <c r="H9" s="6"/>
      <c r="I9" s="7"/>
    </row>
    <row r="10" spans="1:9" ht="24" customHeight="1" x14ac:dyDescent="0.45">
      <c r="A10" s="3"/>
      <c r="B10" s="2"/>
      <c r="C10" s="2"/>
      <c r="D10" s="2"/>
      <c r="E10" s="4"/>
      <c r="F10" s="4"/>
      <c r="G10" s="2"/>
      <c r="H10" s="2"/>
      <c r="I10" s="3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workbookViewId="0">
      <pane xSplit="1" ySplit="3" topLeftCell="B4" activePane="bottomRight" state="frozen"/>
      <selection pane="topRight"/>
      <selection pane="bottomLeft"/>
      <selection pane="bottomRight" activeCell="C5" sqref="C5"/>
    </sheetView>
  </sheetViews>
  <sheetFormatPr defaultRowHeight="14.25" x14ac:dyDescent="0.45"/>
  <cols>
    <col min="1" max="1" width="28" customWidth="1"/>
    <col min="2" max="3" width="18" customWidth="1"/>
    <col min="4" max="7" width="16" customWidth="1"/>
    <col min="8" max="8" width="18" customWidth="1"/>
  </cols>
  <sheetData>
    <row r="1" spans="1:8" ht="38" customHeight="1" x14ac:dyDescent="0.45">
      <c r="A1" s="39" t="s">
        <v>202</v>
      </c>
      <c r="B1" s="36"/>
      <c r="C1" s="36"/>
      <c r="D1" s="36"/>
      <c r="E1" s="36"/>
      <c r="F1" s="36"/>
      <c r="G1" s="36"/>
      <c r="H1" s="36"/>
    </row>
    <row r="2" spans="1:8" ht="18" customHeight="1" x14ac:dyDescent="0.45">
      <c r="A2" s="41" t="s">
        <v>203</v>
      </c>
      <c r="B2" s="36"/>
      <c r="C2" s="36"/>
      <c r="D2" s="36"/>
      <c r="E2" s="36"/>
      <c r="F2" s="36"/>
      <c r="G2" s="36"/>
      <c r="H2" s="36"/>
    </row>
    <row r="3" spans="1:8" ht="36" customHeight="1" x14ac:dyDescent="0.45">
      <c r="A3" s="15" t="s">
        <v>204</v>
      </c>
      <c r="B3" s="1" t="s">
        <v>205</v>
      </c>
      <c r="C3" s="1" t="s">
        <v>206</v>
      </c>
      <c r="D3" s="16" t="s">
        <v>207</v>
      </c>
      <c r="E3" s="16" t="s">
        <v>208</v>
      </c>
      <c r="F3" s="16" t="s">
        <v>209</v>
      </c>
      <c r="G3" s="16" t="s">
        <v>210</v>
      </c>
      <c r="H3" s="17" t="s">
        <v>211</v>
      </c>
    </row>
    <row r="4" spans="1:8" ht="22.05" customHeight="1" x14ac:dyDescent="0.45">
      <c r="A4" s="45" t="s">
        <v>212</v>
      </c>
      <c r="B4" s="32"/>
      <c r="C4" s="32"/>
      <c r="D4" s="32"/>
      <c r="E4" s="32"/>
      <c r="F4" s="32"/>
      <c r="G4" s="32"/>
      <c r="H4" s="33"/>
    </row>
    <row r="5" spans="1:8" ht="24" customHeight="1" x14ac:dyDescent="0.45">
      <c r="A5" s="18" t="s">
        <v>4</v>
      </c>
      <c r="B5" s="6">
        <f>SUMPRODUCT(('🛒 Orders'!B$4:B$500="Drop 1 - Aug'24")*('🛒 Orders'!D$4:D$500="Site")*('🛒 Orders'!H$4:H$500))</f>
        <v>5490</v>
      </c>
      <c r="C5" s="6">
        <f>SUMPRODUCT(('🛒 Orders'!B$4:B$500="Drop 2 - Oct'24")*('🛒 Orders'!D$4:D$500="Site")*('🛒 Orders'!H$4:H$500))</f>
        <v>3295</v>
      </c>
      <c r="D5" s="19"/>
      <c r="E5" s="19"/>
      <c r="F5" s="19"/>
      <c r="G5" s="19"/>
      <c r="H5" s="17">
        <f>SUM(B5:G5)</f>
        <v>8785</v>
      </c>
    </row>
    <row r="6" spans="1:8" ht="24" customHeight="1" x14ac:dyDescent="0.45">
      <c r="A6" s="20" t="s">
        <v>5</v>
      </c>
      <c r="B6" s="2">
        <f>SUMPRODUCT(('🛒 Orders'!B$4:B$500="Drop 1 - Aug'24")*('🛒 Orders'!D$4:D$500="Custom")*('🛒 Orders'!H$4:H$500))</f>
        <v>5491</v>
      </c>
      <c r="C6" s="2">
        <f>SUMPRODUCT(('🛒 Orders'!B$4:B$500="Drop 2 - Oct'24")*('🛒 Orders'!D$4:D$500="Custom")*('🛒 Orders'!H$4:H$500))</f>
        <v>1198</v>
      </c>
      <c r="D6" s="21"/>
      <c r="E6" s="21"/>
      <c r="F6" s="21"/>
      <c r="G6" s="21"/>
      <c r="H6" s="17">
        <f>SUM(B6:G6)</f>
        <v>6689</v>
      </c>
    </row>
    <row r="7" spans="1:8" ht="24" customHeight="1" x14ac:dyDescent="0.45">
      <c r="A7" s="18" t="s">
        <v>213</v>
      </c>
      <c r="B7" s="6">
        <f>SUMPRODUCT(('🛒 Orders'!B$4:B$500="Drop 1 - Aug'24")*('🛒 Orders'!D$4:D$500="Dept")*('🛒 Orders'!H$4:H$500))</f>
        <v>0</v>
      </c>
      <c r="C7" s="6">
        <f>SUMPRODUCT(('🛒 Orders'!B$4:B$500="Drop 2 - Oct'24")*('🛒 Orders'!D$4:D$500="Dept")*('🛒 Orders'!H$4:H$500))</f>
        <v>2097</v>
      </c>
      <c r="D7" s="19"/>
      <c r="E7" s="19"/>
      <c r="F7" s="19"/>
      <c r="G7" s="19"/>
      <c r="H7" s="17">
        <f>SUM(B7:G7)</f>
        <v>2097</v>
      </c>
    </row>
    <row r="8" spans="1:8" ht="24" customHeight="1" x14ac:dyDescent="0.45">
      <c r="A8" s="20" t="s">
        <v>214</v>
      </c>
      <c r="B8" s="4">
        <f>SUMPRODUCT(('🛒 Orders'!B$4:B$500="Drop 1 - Aug'24")*('🛒 Orders'!I$4:I$500))</f>
        <v>140.5</v>
      </c>
      <c r="C8" s="4">
        <f>SUMPRODUCT(('🛒 Orders'!B$4:B$500="Drop 2 - Oct'24")*('🛒 Orders'!I$4:I$500))</f>
        <v>84.33</v>
      </c>
      <c r="D8" s="22"/>
      <c r="E8" s="22"/>
      <c r="F8" s="22"/>
      <c r="G8" s="22"/>
      <c r="H8" s="23">
        <f>SUM(B8:G8)</f>
        <v>224.82999999999998</v>
      </c>
    </row>
    <row r="9" spans="1:8" ht="24" customHeight="1" x14ac:dyDescent="0.45">
      <c r="A9" s="18" t="s">
        <v>215</v>
      </c>
      <c r="B9" s="8">
        <f>B5+B6+B7-B8</f>
        <v>10840.5</v>
      </c>
      <c r="C9" s="8">
        <f>C5+C6+C7-C8</f>
        <v>6505.67</v>
      </c>
      <c r="D9" s="24"/>
      <c r="E9" s="24"/>
      <c r="F9" s="24"/>
      <c r="G9" s="24"/>
      <c r="H9" s="23">
        <f>SUM(B9:G9)</f>
        <v>17346.169999999998</v>
      </c>
    </row>
    <row r="10" spans="1:8" ht="22.05" customHeight="1" x14ac:dyDescent="0.45">
      <c r="A10" s="45" t="s">
        <v>216</v>
      </c>
      <c r="B10" s="32"/>
      <c r="C10" s="32"/>
      <c r="D10" s="32"/>
      <c r="E10" s="32"/>
      <c r="F10" s="32"/>
      <c r="G10" s="32"/>
      <c r="H10" s="33"/>
    </row>
    <row r="11" spans="1:8" ht="24" customHeight="1" x14ac:dyDescent="0.45">
      <c r="A11" s="18" t="s">
        <v>217</v>
      </c>
      <c r="B11" s="8">
        <f>SUMPRODUCT(('💸 Expenses'!C$4:C$500="Drop 1 - Aug'24")*('💸 Expenses'!B$4:B$500="T-Shirts")*('💸 Expenses'!E$4:E$500))</f>
        <v>4021.5</v>
      </c>
      <c r="C11" s="8">
        <f>SUMPRODUCT(('💸 Expenses'!C$4:C$500="Drop 2 - Oct'24")*('💸 Expenses'!B$4:B$500="T-Shirts")*('💸 Expenses'!E$4:E$500))</f>
        <v>1314.6</v>
      </c>
      <c r="D11" s="24"/>
      <c r="E11" s="24"/>
      <c r="F11" s="24"/>
      <c r="G11" s="24"/>
      <c r="H11" s="23">
        <f>SUM(B11:G11)</f>
        <v>5336.1</v>
      </c>
    </row>
    <row r="12" spans="1:8" ht="24" customHeight="1" x14ac:dyDescent="0.45">
      <c r="A12" s="20" t="s">
        <v>218</v>
      </c>
      <c r="B12" s="4">
        <f>SUMPRODUCT(('💸 Expenses'!C$4:C$500="Drop 1 - Aug'24")*('💸 Expenses'!B$4:B$500="DTF Print")*('💸 Expenses'!E$4:E$500))</f>
        <v>3150</v>
      </c>
      <c r="C12" s="4">
        <f>SUMPRODUCT(('💸 Expenses'!C$4:C$500="Drop 2 - Oct'24")*('💸 Expenses'!B$4:B$500="DTF Print")*('💸 Expenses'!E$4:E$500))</f>
        <v>1100</v>
      </c>
      <c r="D12" s="22"/>
      <c r="E12" s="22"/>
      <c r="F12" s="22"/>
      <c r="G12" s="22"/>
      <c r="H12" s="23">
        <f>SUM(B12:G12)</f>
        <v>4250</v>
      </c>
    </row>
    <row r="13" spans="1:8" ht="24" customHeight="1" x14ac:dyDescent="0.45">
      <c r="A13" s="18" t="s">
        <v>219</v>
      </c>
      <c r="B13" s="6">
        <f>SUMPRODUCT(('💸 Expenses'!C$4:C$500="Drop 1 - Aug'24")*('💸 Expenses'!B$4:B$500="Delivery")*('💸 Expenses'!E$4:E$500))</f>
        <v>0</v>
      </c>
      <c r="C13" s="6">
        <f>SUMPRODUCT(('💸 Expenses'!C$4:C$500="Drop 2 - Oct'24")*('💸 Expenses'!B$4:B$500="Delivery")*('💸 Expenses'!E$4:E$500))</f>
        <v>0</v>
      </c>
      <c r="D13" s="19"/>
      <c r="E13" s="19"/>
      <c r="F13" s="19"/>
      <c r="G13" s="19"/>
      <c r="H13" s="17">
        <f>SUM(B13:G13)</f>
        <v>0</v>
      </c>
    </row>
    <row r="14" spans="1:8" ht="24" customHeight="1" x14ac:dyDescent="0.45">
      <c r="A14" s="20" t="s">
        <v>220</v>
      </c>
      <c r="B14" s="4">
        <f>B11+B12+B13</f>
        <v>7171.5</v>
      </c>
      <c r="C14" s="4">
        <f>C11+C12+C13</f>
        <v>2414.6</v>
      </c>
      <c r="D14" s="22"/>
      <c r="E14" s="22"/>
      <c r="F14" s="22"/>
      <c r="G14" s="22"/>
      <c r="H14" s="23">
        <f>SUM(B14:G14)</f>
        <v>9586.1</v>
      </c>
    </row>
    <row r="15" spans="1:8" ht="22.05" customHeight="1" x14ac:dyDescent="0.45">
      <c r="A15" s="45" t="s">
        <v>221</v>
      </c>
      <c r="B15" s="32"/>
      <c r="C15" s="32"/>
      <c r="D15" s="32"/>
      <c r="E15" s="32"/>
      <c r="F15" s="32"/>
      <c r="G15" s="32"/>
      <c r="H15" s="33"/>
    </row>
    <row r="16" spans="1:8" ht="24" customHeight="1" x14ac:dyDescent="0.45">
      <c r="A16" s="20" t="s">
        <v>222</v>
      </c>
      <c r="B16" s="4">
        <f>B9-B14</f>
        <v>3669</v>
      </c>
      <c r="C16" s="4">
        <f>C9-C14</f>
        <v>4091.07</v>
      </c>
      <c r="D16" s="22"/>
      <c r="E16" s="22"/>
      <c r="F16" s="22"/>
      <c r="G16" s="22"/>
      <c r="H16" s="23">
        <f>SUM(B16:G16)</f>
        <v>7760.07</v>
      </c>
    </row>
    <row r="17" spans="1:8" ht="24" customHeight="1" x14ac:dyDescent="0.45">
      <c r="A17" s="18" t="s">
        <v>223</v>
      </c>
      <c r="B17" s="8">
        <f>SUMPRODUCT(('💸 Expenses'!C$4:C$500="Drop 1 - Aug'24")*('💸 Expenses'!B$4:B$500&lt;&gt;"T-Shirts")*('💸 Expenses'!B$4:B$500&lt;&gt;"DTF Print")*('💸 Expenses'!B$4:B$500&lt;&gt;"Delivery")*('💸 Expenses'!E$4:E$500))</f>
        <v>0</v>
      </c>
      <c r="C17" s="8">
        <f>SUMPRODUCT(('💸 Expenses'!C$4:C$500="Drop 2 - Oct'24")*('💸 Expenses'!B$4:B$500&lt;&gt;"T-Shirts")*('💸 Expenses'!B$4:B$500&lt;&gt;"DTF Print")*('💸 Expenses'!B$4:B$500&lt;&gt;"Delivery")*('💸 Expenses'!E$4:E$500))</f>
        <v>0</v>
      </c>
      <c r="D17" s="24">
        <f>0</f>
        <v>0</v>
      </c>
      <c r="E17" s="24">
        <f>0</f>
        <v>0</v>
      </c>
      <c r="F17" s="24">
        <f>0</f>
        <v>0</v>
      </c>
      <c r="G17" s="24">
        <f>0</f>
        <v>0</v>
      </c>
      <c r="H17" s="23">
        <f>SUM(B17:G17)</f>
        <v>0</v>
      </c>
    </row>
    <row r="18" spans="1:8" ht="24" customHeight="1" x14ac:dyDescent="0.45">
      <c r="A18" s="20" t="s">
        <v>224</v>
      </c>
      <c r="B18" s="2">
        <f>B16-B17</f>
        <v>3669</v>
      </c>
      <c r="C18" s="2">
        <f>C16-C17</f>
        <v>4091.07</v>
      </c>
      <c r="D18" s="21"/>
      <c r="E18" s="21"/>
      <c r="F18" s="21"/>
      <c r="G18" s="21"/>
      <c r="H18" s="17">
        <f>SUM(B18:G18)</f>
        <v>7760.07</v>
      </c>
    </row>
    <row r="19" spans="1:8" ht="24" customHeight="1" x14ac:dyDescent="0.45">
      <c r="A19" s="18" t="s">
        <v>225</v>
      </c>
      <c r="B19" s="8">
        <f t="shared" ref="B19:H19" si="0">IFERROR(B18/B9,0)</f>
        <v>0.33845302338453026</v>
      </c>
      <c r="C19" s="8">
        <f t="shared" si="0"/>
        <v>0.62884683668246322</v>
      </c>
      <c r="D19" s="24">
        <f t="shared" si="0"/>
        <v>0</v>
      </c>
      <c r="E19" s="24">
        <f t="shared" si="0"/>
        <v>0</v>
      </c>
      <c r="F19" s="24">
        <f t="shared" si="0"/>
        <v>0</v>
      </c>
      <c r="G19" s="24">
        <f t="shared" si="0"/>
        <v>0</v>
      </c>
      <c r="H19" s="23">
        <f t="shared" si="0"/>
        <v>0.44736503793056337</v>
      </c>
    </row>
    <row r="20" spans="1:8" ht="22.05" customHeight="1" x14ac:dyDescent="0.45">
      <c r="A20" s="45" t="s">
        <v>226</v>
      </c>
      <c r="B20" s="32"/>
      <c r="C20" s="32"/>
      <c r="D20" s="32"/>
      <c r="E20" s="32"/>
      <c r="F20" s="32"/>
      <c r="G20" s="32"/>
      <c r="H20" s="33"/>
    </row>
    <row r="21" spans="1:8" ht="24" customHeight="1" x14ac:dyDescent="0.45">
      <c r="A21" s="18" t="s">
        <v>23</v>
      </c>
      <c r="B21" s="8">
        <f>SUMPRODUCT(('🛒 Orders'!B$4:B$500="Drop 1 - Aug'24")*('🛒 Orders'!F$4:F$500))</f>
        <v>19</v>
      </c>
      <c r="C21" s="8">
        <f>SUMPRODUCT(('🛒 Orders'!B$4:B$500="Drop 2 - Oct'24")*('🛒 Orders'!F$4:F$500))</f>
        <v>10</v>
      </c>
      <c r="D21" s="24"/>
      <c r="E21" s="24"/>
      <c r="F21" s="24"/>
      <c r="G21" s="24"/>
      <c r="H21" s="23">
        <f>SUM(B21:G21)</f>
        <v>29</v>
      </c>
    </row>
    <row r="22" spans="1:8" ht="24" customHeight="1" x14ac:dyDescent="0.45">
      <c r="A22" s="20" t="s">
        <v>227</v>
      </c>
      <c r="B22" s="25">
        <f t="shared" ref="B22:H22" si="1">IFERROR(B9/B21,0)</f>
        <v>570.5526315789474</v>
      </c>
      <c r="C22" s="25">
        <f t="shared" si="1"/>
        <v>650.56700000000001</v>
      </c>
      <c r="D22" s="21">
        <f t="shared" si="1"/>
        <v>0</v>
      </c>
      <c r="E22" s="21">
        <f t="shared" si="1"/>
        <v>0</v>
      </c>
      <c r="F22" s="21">
        <f t="shared" si="1"/>
        <v>0</v>
      </c>
      <c r="G22" s="21">
        <f t="shared" si="1"/>
        <v>0</v>
      </c>
      <c r="H22" s="26">
        <f t="shared" si="1"/>
        <v>598.14379310344816</v>
      </c>
    </row>
    <row r="23" spans="1:8" ht="24" customHeight="1" x14ac:dyDescent="0.45">
      <c r="A23" s="18" t="s">
        <v>228</v>
      </c>
      <c r="B23" s="8">
        <f t="shared" ref="B23:H23" si="2">IFERROR(B14/B21,0)</f>
        <v>377.44736842105266</v>
      </c>
      <c r="C23" s="8">
        <f t="shared" si="2"/>
        <v>241.45999999999998</v>
      </c>
      <c r="D23" s="24">
        <f t="shared" si="2"/>
        <v>0</v>
      </c>
      <c r="E23" s="24">
        <f t="shared" si="2"/>
        <v>0</v>
      </c>
      <c r="F23" s="24">
        <f t="shared" si="2"/>
        <v>0</v>
      </c>
      <c r="G23" s="24">
        <f t="shared" si="2"/>
        <v>0</v>
      </c>
      <c r="H23" s="23">
        <f t="shared" si="2"/>
        <v>330.55517241379312</v>
      </c>
    </row>
    <row r="24" spans="1:8" ht="24" customHeight="1" x14ac:dyDescent="0.45">
      <c r="A24" s="20" t="s">
        <v>229</v>
      </c>
      <c r="B24" s="4">
        <f t="shared" ref="B24:H24" si="3">IFERROR(B18/B21,0)</f>
        <v>193.10526315789474</v>
      </c>
      <c r="C24" s="4">
        <f t="shared" si="3"/>
        <v>409.10700000000003</v>
      </c>
      <c r="D24" s="22">
        <f t="shared" si="3"/>
        <v>0</v>
      </c>
      <c r="E24" s="22">
        <f t="shared" si="3"/>
        <v>0</v>
      </c>
      <c r="F24" s="22">
        <f t="shared" si="3"/>
        <v>0</v>
      </c>
      <c r="G24" s="22">
        <f t="shared" si="3"/>
        <v>0</v>
      </c>
      <c r="H24" s="23">
        <f t="shared" si="3"/>
        <v>267.58862068965516</v>
      </c>
    </row>
    <row r="25" spans="1:8" ht="22.05" customHeight="1" x14ac:dyDescent="0.45">
      <c r="A25" s="45" t="s">
        <v>230</v>
      </c>
      <c r="B25" s="32"/>
      <c r="C25" s="32"/>
      <c r="D25" s="32"/>
      <c r="E25" s="32"/>
      <c r="F25" s="32"/>
      <c r="G25" s="32"/>
      <c r="H25" s="33"/>
    </row>
    <row r="26" spans="1:8" ht="24" customHeight="1" x14ac:dyDescent="0.45">
      <c r="A26" s="20" t="s">
        <v>231</v>
      </c>
      <c r="B26" s="4" t="s">
        <v>232</v>
      </c>
      <c r="C26" s="4" t="s">
        <v>233</v>
      </c>
      <c r="D26" s="22"/>
      <c r="E26" s="22"/>
      <c r="F26" s="22"/>
      <c r="G26" s="22"/>
      <c r="H26" s="23"/>
    </row>
    <row r="27" spans="1:8" ht="24" customHeight="1" x14ac:dyDescent="0.45">
      <c r="A27" s="18" t="s">
        <v>234</v>
      </c>
      <c r="B27" s="27" t="s">
        <v>235</v>
      </c>
      <c r="C27" s="27" t="s">
        <v>236</v>
      </c>
      <c r="D27" s="19"/>
      <c r="E27" s="19"/>
      <c r="F27" s="19"/>
      <c r="G27" s="19"/>
      <c r="H27" s="26"/>
    </row>
    <row r="30" spans="1:8" ht="18" customHeight="1" x14ac:dyDescent="0.45">
      <c r="A30" s="28" t="s">
        <v>237</v>
      </c>
      <c r="C30" s="29">
        <f>SUM(B9:G9)</f>
        <v>17346.169999999998</v>
      </c>
    </row>
    <row r="31" spans="1:8" ht="18" customHeight="1" x14ac:dyDescent="0.45">
      <c r="A31" s="28" t="s">
        <v>238</v>
      </c>
      <c r="C31" s="29">
        <f>SUM(B5:G5)</f>
        <v>8785</v>
      </c>
    </row>
    <row r="32" spans="1:8" ht="18" customHeight="1" x14ac:dyDescent="0.45">
      <c r="A32" s="28" t="s">
        <v>239</v>
      </c>
      <c r="C32" s="29">
        <f>SUM(B6:G6)</f>
        <v>6689</v>
      </c>
    </row>
    <row r="33" spans="1:3" ht="18" customHeight="1" x14ac:dyDescent="0.45">
      <c r="A33" s="28" t="s">
        <v>240</v>
      </c>
      <c r="C33" s="29">
        <f>SUM(B8:G8)</f>
        <v>224.82999999999998</v>
      </c>
    </row>
    <row r="34" spans="1:3" ht="18" customHeight="1" x14ac:dyDescent="0.45">
      <c r="A34" s="28" t="s">
        <v>241</v>
      </c>
      <c r="C34" s="29">
        <f>SUM(B16:G16)</f>
        <v>7760.07</v>
      </c>
    </row>
    <row r="35" spans="1:3" ht="18" customHeight="1" x14ac:dyDescent="0.45">
      <c r="A35" s="28" t="s">
        <v>242</v>
      </c>
      <c r="C35" s="29">
        <f>SUM(B18:G18)</f>
        <v>7760.07</v>
      </c>
    </row>
    <row r="36" spans="1:3" ht="18" customHeight="1" x14ac:dyDescent="0.45">
      <c r="A36" s="28" t="s">
        <v>243</v>
      </c>
      <c r="C36" s="30">
        <f>IFERROR(C35/C30,0)</f>
        <v>0.44736503793056337</v>
      </c>
    </row>
  </sheetData>
  <mergeCells count="7">
    <mergeCell ref="A1:H1"/>
    <mergeCell ref="A4:H4"/>
    <mergeCell ref="A15:H15"/>
    <mergeCell ref="A25:H25"/>
    <mergeCell ref="A20:H20"/>
    <mergeCell ref="A2:H2"/>
    <mergeCell ref="A10:H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topLeftCell="E1" workbookViewId="0">
      <pane ySplit="3" topLeftCell="A4" activePane="bottomLeft" state="frozen"/>
      <selection pane="bottomLeft" activeCell="G4" sqref="G4"/>
    </sheetView>
  </sheetViews>
  <sheetFormatPr defaultRowHeight="14.25" x14ac:dyDescent="0.45"/>
  <cols>
    <col min="1" max="1" width="22" customWidth="1"/>
    <col min="2" max="2" width="10" customWidth="1"/>
    <col min="3" max="4" width="18" customWidth="1"/>
    <col min="5" max="5" width="16" customWidth="1"/>
    <col min="6" max="7" width="18" customWidth="1"/>
    <col min="8" max="8" width="14" customWidth="1"/>
    <col min="9" max="9" width="12" customWidth="1"/>
    <col min="10" max="10" width="22" customWidth="1"/>
  </cols>
  <sheetData>
    <row r="1" spans="1:10" ht="38" customHeight="1" x14ac:dyDescent="0.45">
      <c r="A1" s="39" t="s">
        <v>244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8" customHeight="1" x14ac:dyDescent="0.45">
      <c r="A2" s="41" t="s">
        <v>245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30" customHeight="1" x14ac:dyDescent="0.45">
      <c r="A3" s="1" t="s">
        <v>246</v>
      </c>
      <c r="B3" s="1" t="s">
        <v>247</v>
      </c>
      <c r="C3" s="1" t="s">
        <v>248</v>
      </c>
      <c r="D3" s="1" t="s">
        <v>37</v>
      </c>
      <c r="E3" s="1" t="s">
        <v>38</v>
      </c>
      <c r="F3" s="1" t="s">
        <v>249</v>
      </c>
      <c r="G3" s="1" t="s">
        <v>34</v>
      </c>
      <c r="H3" s="1" t="s">
        <v>250</v>
      </c>
      <c r="I3" s="1" t="s">
        <v>225</v>
      </c>
      <c r="J3" s="1" t="s">
        <v>251</v>
      </c>
    </row>
    <row r="4" spans="1:10" ht="22.05" customHeight="1" x14ac:dyDescent="0.45">
      <c r="A4" s="3" t="s">
        <v>48</v>
      </c>
      <c r="B4" s="2" t="s">
        <v>252</v>
      </c>
      <c r="C4" s="3" t="s">
        <v>253</v>
      </c>
      <c r="D4" s="4">
        <v>250</v>
      </c>
      <c r="E4" s="4">
        <v>150</v>
      </c>
      <c r="F4" s="4">
        <f t="shared" ref="F4:F15" si="0">D4+E4</f>
        <v>400</v>
      </c>
      <c r="G4" s="4">
        <v>599</v>
      </c>
      <c r="H4" s="5">
        <f t="shared" ref="H4:H15" si="1">IF(G4="","",G4-F4)</f>
        <v>199</v>
      </c>
      <c r="I4" s="25">
        <f t="shared" ref="I4:I15" si="2">IF(G4="","",IFERROR(H4/G4,0))</f>
        <v>0.332220367278798</v>
      </c>
      <c r="J4" s="3" t="s">
        <v>147</v>
      </c>
    </row>
    <row r="5" spans="1:10" ht="22.05" customHeight="1" x14ac:dyDescent="0.45">
      <c r="A5" s="7" t="s">
        <v>52</v>
      </c>
      <c r="B5" s="6" t="s">
        <v>252</v>
      </c>
      <c r="C5" s="7" t="s">
        <v>254</v>
      </c>
      <c r="D5" s="4">
        <v>250</v>
      </c>
      <c r="E5" s="4">
        <v>150</v>
      </c>
      <c r="F5" s="4">
        <f t="shared" si="0"/>
        <v>400</v>
      </c>
      <c r="G5" s="4">
        <v>599</v>
      </c>
      <c r="H5" s="9">
        <f t="shared" si="1"/>
        <v>199</v>
      </c>
      <c r="I5" s="27">
        <f t="shared" si="2"/>
        <v>0.332220367278798</v>
      </c>
      <c r="J5" s="7" t="s">
        <v>147</v>
      </c>
    </row>
    <row r="6" spans="1:10" ht="22.05" customHeight="1" x14ac:dyDescent="0.45">
      <c r="A6" s="3" t="s">
        <v>56</v>
      </c>
      <c r="B6" s="2" t="s">
        <v>252</v>
      </c>
      <c r="C6" s="3" t="s">
        <v>255</v>
      </c>
      <c r="D6" s="8">
        <v>200</v>
      </c>
      <c r="E6" s="4">
        <v>150</v>
      </c>
      <c r="F6" s="4">
        <f t="shared" si="0"/>
        <v>350</v>
      </c>
      <c r="G6" s="4">
        <v>499</v>
      </c>
      <c r="H6" s="5">
        <f t="shared" si="1"/>
        <v>149</v>
      </c>
      <c r="I6" s="25">
        <f t="shared" si="2"/>
        <v>0.29859719438877758</v>
      </c>
      <c r="J6" s="3" t="s">
        <v>147</v>
      </c>
    </row>
    <row r="7" spans="1:10" ht="22.05" customHeight="1" x14ac:dyDescent="0.45">
      <c r="A7" s="7" t="s">
        <v>60</v>
      </c>
      <c r="B7" s="6" t="s">
        <v>252</v>
      </c>
      <c r="C7" s="7" t="s">
        <v>256</v>
      </c>
      <c r="D7" s="8">
        <v>200</v>
      </c>
      <c r="E7" s="4">
        <v>150</v>
      </c>
      <c r="F7" s="4">
        <f t="shared" si="0"/>
        <v>350</v>
      </c>
      <c r="G7" s="4">
        <v>499</v>
      </c>
      <c r="H7" s="9">
        <f t="shared" si="1"/>
        <v>149</v>
      </c>
      <c r="I7" s="27">
        <f t="shared" si="2"/>
        <v>0.29859719438877758</v>
      </c>
      <c r="J7" s="7" t="s">
        <v>147</v>
      </c>
    </row>
    <row r="8" spans="1:10" ht="22.05" customHeight="1" x14ac:dyDescent="0.45">
      <c r="A8" s="3" t="s">
        <v>67</v>
      </c>
      <c r="B8" s="2" t="s">
        <v>252</v>
      </c>
      <c r="C8" s="3" t="s">
        <v>257</v>
      </c>
      <c r="D8" s="8">
        <v>200</v>
      </c>
      <c r="E8" s="4">
        <v>150</v>
      </c>
      <c r="F8" s="4">
        <f t="shared" si="0"/>
        <v>350</v>
      </c>
      <c r="G8" s="4">
        <v>499</v>
      </c>
      <c r="H8" s="5">
        <f t="shared" si="1"/>
        <v>149</v>
      </c>
      <c r="I8" s="25">
        <f t="shared" si="2"/>
        <v>0.29859719438877758</v>
      </c>
      <c r="J8" s="3" t="s">
        <v>147</v>
      </c>
    </row>
    <row r="9" spans="1:10" ht="22.05" customHeight="1" x14ac:dyDescent="0.45">
      <c r="A9" s="7" t="s">
        <v>84</v>
      </c>
      <c r="B9" s="6" t="s">
        <v>252</v>
      </c>
      <c r="C9" s="7" t="s">
        <v>82</v>
      </c>
      <c r="D9" s="8">
        <v>200</v>
      </c>
      <c r="E9" s="8">
        <v>200</v>
      </c>
      <c r="F9" s="8">
        <f t="shared" si="0"/>
        <v>400</v>
      </c>
      <c r="G9" s="8">
        <v>499</v>
      </c>
      <c r="H9" s="9">
        <f t="shared" si="1"/>
        <v>99</v>
      </c>
      <c r="I9" s="27">
        <f t="shared" si="2"/>
        <v>0.19839679358717435</v>
      </c>
      <c r="J9" s="7" t="s">
        <v>147</v>
      </c>
    </row>
    <row r="10" spans="1:10" ht="22.05" customHeight="1" x14ac:dyDescent="0.45">
      <c r="A10" s="3" t="s">
        <v>97</v>
      </c>
      <c r="B10" s="2" t="s">
        <v>252</v>
      </c>
      <c r="C10" s="3" t="s">
        <v>258</v>
      </c>
      <c r="D10" s="4">
        <v>300</v>
      </c>
      <c r="E10" s="8">
        <v>200</v>
      </c>
      <c r="F10" s="4">
        <f t="shared" si="0"/>
        <v>500</v>
      </c>
      <c r="G10" s="4">
        <v>699</v>
      </c>
      <c r="H10" s="5">
        <f t="shared" si="1"/>
        <v>199</v>
      </c>
      <c r="I10" s="25">
        <f t="shared" si="2"/>
        <v>0.28469241773962806</v>
      </c>
      <c r="J10" s="3" t="s">
        <v>147</v>
      </c>
    </row>
    <row r="11" spans="1:10" ht="22.05" customHeight="1" x14ac:dyDescent="0.45">
      <c r="A11" s="7" t="s">
        <v>259</v>
      </c>
      <c r="B11" s="6" t="s">
        <v>252</v>
      </c>
      <c r="C11" s="7" t="s">
        <v>260</v>
      </c>
      <c r="D11" s="8">
        <v>200</v>
      </c>
      <c r="E11" s="8">
        <v>150</v>
      </c>
      <c r="F11" s="8">
        <f t="shared" si="0"/>
        <v>350</v>
      </c>
      <c r="G11" s="8">
        <f>E11+F11</f>
        <v>500</v>
      </c>
      <c r="H11" s="9">
        <f t="shared" si="1"/>
        <v>150</v>
      </c>
      <c r="I11" s="27">
        <f t="shared" si="2"/>
        <v>0.3</v>
      </c>
      <c r="J11" s="7" t="s">
        <v>147</v>
      </c>
    </row>
    <row r="12" spans="1:10" ht="22.05" customHeight="1" x14ac:dyDescent="0.45">
      <c r="A12" s="3" t="s">
        <v>110</v>
      </c>
      <c r="B12" s="2" t="s">
        <v>261</v>
      </c>
      <c r="C12" s="3" t="s">
        <v>262</v>
      </c>
      <c r="D12" s="4">
        <v>200</v>
      </c>
      <c r="E12" s="8">
        <v>200</v>
      </c>
      <c r="F12" s="4">
        <f t="shared" si="0"/>
        <v>400</v>
      </c>
      <c r="G12" s="4">
        <v>699</v>
      </c>
      <c r="H12" s="5">
        <f t="shared" si="1"/>
        <v>299</v>
      </c>
      <c r="I12" s="25">
        <f t="shared" si="2"/>
        <v>0.42775393419170243</v>
      </c>
      <c r="J12" s="3" t="s">
        <v>263</v>
      </c>
    </row>
    <row r="13" spans="1:10" ht="22.05" customHeight="1" x14ac:dyDescent="0.45">
      <c r="A13" s="7" t="s">
        <v>117</v>
      </c>
      <c r="B13" s="6" t="s">
        <v>261</v>
      </c>
      <c r="C13" s="7" t="s">
        <v>264</v>
      </c>
      <c r="D13" s="4">
        <v>200</v>
      </c>
      <c r="E13" s="8">
        <v>200</v>
      </c>
      <c r="F13" s="8">
        <f t="shared" si="0"/>
        <v>400</v>
      </c>
      <c r="G13" s="8">
        <v>599</v>
      </c>
      <c r="H13" s="9">
        <f t="shared" si="1"/>
        <v>199</v>
      </c>
      <c r="I13" s="27">
        <f t="shared" si="2"/>
        <v>0.332220367278798</v>
      </c>
      <c r="J13" s="7" t="s">
        <v>263</v>
      </c>
    </row>
    <row r="14" spans="1:10" ht="22.05" customHeight="1" x14ac:dyDescent="0.45">
      <c r="A14" s="3" t="s">
        <v>127</v>
      </c>
      <c r="B14" s="2" t="s">
        <v>261</v>
      </c>
      <c r="C14" s="3" t="s">
        <v>265</v>
      </c>
      <c r="D14" s="4">
        <v>200</v>
      </c>
      <c r="E14" s="8">
        <v>200</v>
      </c>
      <c r="F14" s="4">
        <f t="shared" si="0"/>
        <v>400</v>
      </c>
      <c r="G14" s="4">
        <v>699</v>
      </c>
      <c r="H14" s="5">
        <f t="shared" si="1"/>
        <v>299</v>
      </c>
      <c r="I14" s="25">
        <f t="shared" si="2"/>
        <v>0.42775393419170243</v>
      </c>
      <c r="J14" s="3" t="s">
        <v>263</v>
      </c>
    </row>
    <row r="15" spans="1:10" ht="22.05" customHeight="1" x14ac:dyDescent="0.45">
      <c r="A15" s="7" t="s">
        <v>131</v>
      </c>
      <c r="B15" s="6" t="s">
        <v>261</v>
      </c>
      <c r="C15" s="7" t="s">
        <v>266</v>
      </c>
      <c r="D15" s="4">
        <v>200</v>
      </c>
      <c r="E15" s="8">
        <v>150</v>
      </c>
      <c r="F15" s="8">
        <f t="shared" si="0"/>
        <v>350</v>
      </c>
      <c r="G15" s="8">
        <v>499</v>
      </c>
      <c r="H15" s="9">
        <f t="shared" si="1"/>
        <v>149</v>
      </c>
      <c r="I15" s="27">
        <f t="shared" si="2"/>
        <v>0.29859719438877758</v>
      </c>
      <c r="J15" s="7" t="s">
        <v>263</v>
      </c>
    </row>
    <row r="16" spans="1:10" ht="22.05" customHeight="1" x14ac:dyDescent="0.45">
      <c r="A16" s="3"/>
      <c r="B16" s="2"/>
      <c r="C16" s="3"/>
      <c r="D16" s="4"/>
      <c r="E16" s="4"/>
      <c r="F16" s="2"/>
      <c r="G16" s="4"/>
      <c r="H16" s="2"/>
      <c r="I16" s="2"/>
      <c r="J16" s="3"/>
    </row>
    <row r="17" spans="1:10" ht="22.05" customHeight="1" x14ac:dyDescent="0.45">
      <c r="A17" s="7"/>
      <c r="B17" s="6"/>
      <c r="C17" s="7"/>
      <c r="D17" s="8"/>
      <c r="E17" s="8"/>
      <c r="F17" s="6"/>
      <c r="G17" s="8"/>
      <c r="H17" s="6"/>
      <c r="I17" s="6"/>
      <c r="J17" s="7"/>
    </row>
    <row r="18" spans="1:10" ht="22.05" customHeight="1" x14ac:dyDescent="0.45">
      <c r="A18" s="3"/>
      <c r="B18" s="2"/>
      <c r="C18" s="3"/>
      <c r="D18" s="4"/>
      <c r="E18" s="4"/>
      <c r="F18" s="2"/>
      <c r="G18" s="4"/>
      <c r="H18" s="2"/>
      <c r="I18" s="2"/>
      <c r="J18" s="3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📈 Dashboard</vt:lpstr>
      <vt:lpstr>🛒 Orders</vt:lpstr>
      <vt:lpstr>💸 Expenses</vt:lpstr>
      <vt:lpstr>🏭 Vendors</vt:lpstr>
      <vt:lpstr>📊 Drop Summary</vt:lpstr>
      <vt:lpstr>👕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EBAD SAYED</cp:lastModifiedBy>
  <dcterms:created xsi:type="dcterms:W3CDTF">2026-05-25T14:07:31Z</dcterms:created>
  <dcterms:modified xsi:type="dcterms:W3CDTF">2026-05-25T15:30:35Z</dcterms:modified>
</cp:coreProperties>
</file>